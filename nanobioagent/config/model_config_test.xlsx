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g_h\dev\nanobioagent\nanobioagent\config\"/>
    </mc:Choice>
  </mc:AlternateContent>
  <xr:revisionPtr revIDLastSave="0" documentId="13_ncr:9_{384EC175-5720-4771-9B87-B23A7455C3F9}" xr6:coauthVersionLast="47" xr6:coauthVersionMax="47" xr10:uidLastSave="{00000000-0000-0000-0000-000000000000}"/>
  <bookViews>
    <workbookView xWindow="-90" yWindow="-90" windowWidth="19380" windowHeight="11460" xr2:uid="{B5DFA35D-586A-447C-8982-181DB14633E8}"/>
  </bookViews>
  <sheets>
    <sheet name="model_config_test" sheetId="1" r:id="rId1"/>
    <sheet name="models_HF" sheetId="2" r:id="rId2"/>
  </sheets>
  <definedNames>
    <definedName name="_xlnm._FilterDatabase" localSheetId="1" hidden="1">models_HF!$A$1:$I$465</definedName>
  </definedNames>
  <calcPr calcId="0"/>
</workbook>
</file>

<file path=xl/calcChain.xml><?xml version="1.0" encoding="utf-8"?>
<calcChain xmlns="http://schemas.openxmlformats.org/spreadsheetml/2006/main">
  <c r="I466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2" i="2"/>
  <c r="I54" i="1"/>
  <c r="H54" i="1"/>
  <c r="G54" i="1"/>
  <c r="I52" i="1"/>
  <c r="H52" i="1"/>
  <c r="G52" i="1"/>
  <c r="G53" i="1"/>
  <c r="H53" i="1"/>
  <c r="I53" i="1"/>
  <c r="G43" i="1"/>
  <c r="H43" i="1"/>
  <c r="I43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3" i="1"/>
  <c r="J42" i="1"/>
  <c r="J46" i="1"/>
  <c r="J48" i="1"/>
  <c r="J49" i="1"/>
  <c r="J50" i="1"/>
  <c r="J51" i="1"/>
  <c r="J52" i="1"/>
  <c r="J31" i="1"/>
  <c r="J32" i="1"/>
  <c r="J33" i="1"/>
  <c r="J34" i="1"/>
  <c r="J35" i="1"/>
  <c r="J36" i="1"/>
  <c r="J37" i="1"/>
  <c r="J30" i="1"/>
  <c r="J57" i="1"/>
  <c r="J58" i="1"/>
  <c r="J59" i="1"/>
  <c r="J60" i="1"/>
  <c r="J56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3" i="1"/>
  <c r="M2" i="1" l="1"/>
</calcChain>
</file>

<file path=xl/sharedStrings.xml><?xml version="1.0" encoding="utf-8"?>
<sst xmlns="http://schemas.openxmlformats.org/spreadsheetml/2006/main" count="1830" uniqueCount="1129">
  <si>
    <t>model_name</t>
  </si>
  <si>
    <t>cut_length</t>
  </si>
  <si>
    <t>max_tokens</t>
  </si>
  <si>
    <t>model_type</t>
  </si>
  <si>
    <t>context_window</t>
  </si>
  <si>
    <t>temperature</t>
  </si>
  <si>
    <t>pricing.input</t>
  </si>
  <si>
    <t>pricing.output</t>
  </si>
  <si>
    <t>pricing.per_tokens</t>
  </si>
  <si>
    <t>doc</t>
  </si>
  <si>
    <t>num_parameters</t>
  </si>
  <si>
    <t>_defaults</t>
  </si>
  <si>
    <t>chat</t>
  </si>
  <si>
    <t>gpt-3.5-turbo</t>
  </si>
  <si>
    <t>openai</t>
  </si>
  <si>
    <t>https://platform.openai.com/docs/models/gpt-3.5-turbo</t>
  </si>
  <si>
    <t>gpt-4.1-mini</t>
  </si>
  <si>
    <t>https://platform.openai.com/docs/models/gpt-4.1-mini</t>
  </si>
  <si>
    <t>gpt-4.1-nano</t>
  </si>
  <si>
    <t>https://platform.openai.com/docs/models/gpt-4.1-nano</t>
  </si>
  <si>
    <t>gpt-4.1</t>
  </si>
  <si>
    <t>https://platform.openai.com/docs/models/gpt-4.1</t>
  </si>
  <si>
    <t>gpt-4o-mini</t>
  </si>
  <si>
    <t>https://platform.openai.com/docs/models/gpt-4o-mini</t>
  </si>
  <si>
    <t>gpt-4o</t>
  </si>
  <si>
    <t>https://platform.openai.com/docs/models/gpt-4o</t>
  </si>
  <si>
    <t>gpt-5-mini</t>
  </si>
  <si>
    <t>https://platform.openai.com/docs/models/gpt-5-mini</t>
  </si>
  <si>
    <t>gpt-5-nano</t>
  </si>
  <si>
    <t>https://platform.openai.com/docs/models/gpt-5-nano</t>
  </si>
  <si>
    <t>gpt-5</t>
  </si>
  <si>
    <t>https://platform.openai.com/docs/models/gpt-5</t>
  </si>
  <si>
    <t>anthropic</t>
  </si>
  <si>
    <t>https://docs.anthropic.com/en/docs/about-claude/models/overview</t>
  </si>
  <si>
    <t>claude-3-7-sonnet-20250219</t>
  </si>
  <si>
    <t>claude-sonnet-4-20250514</t>
  </si>
  <si>
    <t>claude-opus-4-1-20250805</t>
  </si>
  <si>
    <t>claude</t>
  </si>
  <si>
    <t>gemini-1.5-flash</t>
  </si>
  <si>
    <t>google</t>
  </si>
  <si>
    <t>https://ai.google.dev/gemini-api/docs/pricing#gemini-1.5-flash</t>
  </si>
  <si>
    <t>gemini-2.0-flash</t>
  </si>
  <si>
    <t>https://ai.google.dev/gemini-api/docs/pricing#gemini-2.0-flash</t>
  </si>
  <si>
    <t>gemini-2.5-flash</t>
  </si>
  <si>
    <t>https://ai.google.dev/gemini-api/docs/pricing#gemini-2.5-flash</t>
  </si>
  <si>
    <t>gemini-2.5-pro</t>
  </si>
  <si>
    <t>https://ai.google.dev/gemini-api/docs/pricing#gemini-2.5-pro</t>
  </si>
  <si>
    <t>nvidia/llama-3.1-nemotron-nano-4b-v1.1</t>
  </si>
  <si>
    <t>nvidia_nim</t>
  </si>
  <si>
    <t>https://build.nvidia.com/nvidia/llama-3_1-nemotron-nano-4b-v1_1</t>
  </si>
  <si>
    <t>huggingface</t>
  </si>
  <si>
    <t>https://build.nvidia.com/nvidia/llama-3_1-nemotron-nano-8b-v1</t>
  </si>
  <si>
    <t>huggingface/zai-org/GLM-4.5</t>
  </si>
  <si>
    <t>https://huggingface.co/zai-org/GLM-4.5</t>
  </si>
  <si>
    <t>huggingface/meta-llama/Llama-3.1-8B-Instruct</t>
  </si>
  <si>
    <t>huggingface/openai/gpt-oss-120b</t>
  </si>
  <si>
    <t>nvidia/llama-3.1-nemotron-nano-8b-v1</t>
  </si>
  <si>
    <t>nvidia/llama-3.3-nemotron-super-49b-v1</t>
  </si>
  <si>
    <t>https://build.nvidia.com/nvidia/llama-3_3-nemotron-super-49b-v1</t>
  </si>
  <si>
    <t>nvidia/llama-3.1-nemotron-ultra-253b-v1</t>
  </si>
  <si>
    <t>https://build.nvidia.com/nvidia/llama-3_1-nemotron-ultra-253b-v1</t>
  </si>
  <si>
    <t>https://build.nvidia.com/qwen/qwen2_5-coder-7b-instruct</t>
  </si>
  <si>
    <t>https://huggingface.co/deepseek-ai/DeepSeek-R1-Distill-Qwen-7B</t>
  </si>
  <si>
    <t>tiiuae</t>
  </si>
  <si>
    <t>microsoft</t>
  </si>
  <si>
    <t>text-davinci</t>
  </si>
  <si>
    <t>completion</t>
  </si>
  <si>
    <t>ollama</t>
  </si>
  <si>
    <t>claude-3-5-haiku-20241022</t>
  </si>
  <si>
    <t>claude-opus-4-20250514</t>
  </si>
  <si>
    <t>https://cloud.google.com/vertex-ai/generative-ai/docs/partner-models/claude/opus-4-1</t>
  </si>
  <si>
    <t>https://cloud.google.com/vertex-ai/generative-ai/docs/partner-models/claude/opus-4</t>
  </si>
  <si>
    <t>https://cloud.google.com/vertex-ai/generative-ai/docs/partner-models/claude/sonnet-4</t>
  </si>
  <si>
    <t>https://cloud.google.com/vertex-ai/generative-ai/docs/partner-models/claude/sonnet-3-7</t>
  </si>
  <si>
    <t>https://cloud.google.com/vertex-ai/generative-ai/docs/partner-models/claude/haiku-3-5</t>
  </si>
  <si>
    <t>https://ai.google.dev/gemini-api/docs/pricing#gemini-1.5-flash-8b</t>
  </si>
  <si>
    <t>gemini-1.5-flash-8b</t>
  </si>
  <si>
    <t>gemini-2.5-flash-lite</t>
  </si>
  <si>
    <t>gemini-2.0-flash-lite</t>
  </si>
  <si>
    <t>https://ai.google.dev/gemini-api/docs/pricing#gemini-2.0-flash-lite</t>
  </si>
  <si>
    <t>https://ai.google.dev/gemini-api/docs/pricing#gemini-2.5-flash-lite</t>
  </si>
  <si>
    <t>ollama/meditron:7b</t>
  </si>
  <si>
    <t>https://ollama.com/library/meditron:7b</t>
  </si>
  <si>
    <t>ollama/llama3:8b</t>
  </si>
  <si>
    <t>ollama/llama2:latest</t>
  </si>
  <si>
    <t>ollama/codellama:7b-instruct</t>
  </si>
  <si>
    <t>ollama/gemma3:12b-it-qat</t>
  </si>
  <si>
    <t>ollama/qwen3:8b</t>
  </si>
  <si>
    <t>ollama/qwen2.5-coder-7b-instruct</t>
  </si>
  <si>
    <t>https://ollama.com/library/qwen2.5-coder:7b-instruct</t>
  </si>
  <si>
    <t>nvidia/llama-3.3-nemotron-super-49b-v1.5</t>
  </si>
  <si>
    <t>qwen/qwen2.5-7b-instruct</t>
  </si>
  <si>
    <t>google/gemma-3-1b-it</t>
  </si>
  <si>
    <t>google/gemma-2b</t>
  </si>
  <si>
    <t>google/gemma-7b</t>
  </si>
  <si>
    <t>google/codegemma-7b</t>
  </si>
  <si>
    <t>google/gemma-3-27b-it</t>
  </si>
  <si>
    <t>deepseek-ai/deepseek-r1-distill-qwen-7b</t>
  </si>
  <si>
    <t>deepseek-ai/deepseek-r1-distill-llama-8b</t>
  </si>
  <si>
    <t>ibm/granite-3.3-8b-instruct</t>
  </si>
  <si>
    <t>qwen/qwen3-235b-a22b</t>
  </si>
  <si>
    <t>qwen/qwen2.5-coder-7b-instruct</t>
  </si>
  <si>
    <t>qwen/qwen2.5-coder-32b-instruct</t>
  </si>
  <si>
    <t>https://build.nvidia.com/qwen/qwen2_5-coder-32b-instruct</t>
  </si>
  <si>
    <t>https://build.nvidia.com/qwen/qwen2_5-7b-instruct</t>
  </si>
  <si>
    <t>https://build.nvidia.com/qwen/qwen3-235b-a22b</t>
  </si>
  <si>
    <t>google/gemma-2-2b-it</t>
  </si>
  <si>
    <t>mistralai/mistral-7b-instruct-v0.3</t>
  </si>
  <si>
    <t>mistralai/mixtral-8x7b-instruct-v0.1</t>
  </si>
  <si>
    <t>mistralai/mistral-nemotron</t>
  </si>
  <si>
    <t>meta/llama-3.2-3b-instruct</t>
  </si>
  <si>
    <t>microsoft/phi-4-mini-instruct</t>
  </si>
  <si>
    <t>microsoft/phi-3-small-128k-instruct</t>
  </si>
  <si>
    <t>microsoft/phi-4-mini-flash-reasoning</t>
  </si>
  <si>
    <t>nv-mistralai/mistral-nemo-12b-instruct</t>
  </si>
  <si>
    <t>tiiuae/falcon3-7b-instruct</t>
  </si>
  <si>
    <t>nvidia/mistral-nemo-minitron-8b-base</t>
  </si>
  <si>
    <t>nvidia/nvidia-nemotron-nano-9b-v2</t>
  </si>
  <si>
    <t>https://build.nvidia.com/nvidia/nvidia-nemotron-nano-9b-v2</t>
  </si>
  <si>
    <t>https://build.nvidia.com/mistralai/mistral-7b-instruct-v03</t>
  </si>
  <si>
    <t>https://build.nvidia.com/mistralai/mixtral-8x7b-instruct</t>
  </si>
  <si>
    <t>https://build.nvidia.com/meta/llama-3.2-3b-instruct</t>
  </si>
  <si>
    <t>https://platform.openai.com/docs/models/davinci-002</t>
  </si>
  <si>
    <t>huggingface/deepseek-ai/DeepSeek-R1-Distill-Qwen-7B</t>
  </si>
  <si>
    <t>https://huggingface.co/tiiuae/falcon-7b-instruct</t>
  </si>
  <si>
    <t>huggingface/zai-org/GLM-4.5-Air</t>
  </si>
  <si>
    <t>https://huggingface.co/zai-org/GLM-4.5-Air</t>
  </si>
  <si>
    <t>https://huggingface.co/meta-llama/Llama-3.1-8B-Instruct</t>
  </si>
  <si>
    <t>https://huggingface.co/openai/gpt-oss-120b</t>
  </si>
  <si>
    <t>huggingface/openai/gpt-oss-20b</t>
  </si>
  <si>
    <t>https://huggingface.co/openai/gpt-oss-20b</t>
  </si>
  <si>
    <t>https://huggingface.co/</t>
  </si>
  <si>
    <t>ratio</t>
  </si>
  <si>
    <t>https://huggingface.co/Qwen/Qwen3-Coder-480B-A35B-Instruct</t>
  </si>
  <si>
    <t>https://huggingface.co/Qwen/Qwen3-235B-A22B-Instruct-2507</t>
  </si>
  <si>
    <t>https://huggingface.co/Qwen/Qwen3-Coder-30B-A3B-Instruct</t>
  </si>
  <si>
    <t>https://huggingface.co/Qwen/Qwen3-30B-A3B-Instruct-2507</t>
  </si>
  <si>
    <t>https://huggingface.co/Qwen/Qwen3-4B-Instruct-2507</t>
  </si>
  <si>
    <t>https://huggingface.co/Qwen/Qwen2.5-Coder-32B-Instruct</t>
  </si>
  <si>
    <t>https://huggingface.co/Qwen/Qwen2.5-Coder-7B-Instruct</t>
  </si>
  <si>
    <t>https://huggingface.co/Qwen/Qwen2.5-Coder-3B-Instruct</t>
  </si>
  <si>
    <t>https://huggingface.co/Qwen/Qwen2.5-72B-Instruct</t>
  </si>
  <si>
    <t>nvidia/mistral-nemo-minitron-8b-8k-instruct&lt;==deprecated</t>
  </si>
  <si>
    <t>zyphra/zamba2-7b-instruct&lt;==deprecated</t>
  </si>
  <si>
    <t>marin/marin-8b-instruct&lt;==bad</t>
  </si>
  <si>
    <t>openai/gpt-oss-20b</t>
  </si>
  <si>
    <t>openai/gpt-oss-120b</t>
  </si>
  <si>
    <t>supported?</t>
  </si>
  <si>
    <t>author</t>
  </si>
  <si>
    <t>url</t>
  </si>
  <si>
    <t>parameters</t>
  </si>
  <si>
    <t>released</t>
  </si>
  <si>
    <t>downloads</t>
  </si>
  <si>
    <t>supported</t>
  </si>
  <si>
    <t>Qwen</t>
  </si>
  <si>
    <t>Qwen3-4B-Thinking-2507-FP8</t>
  </si>
  <si>
    <t>https://huggingface.co/Qwen/Qwen3-4B-Thinking-2507-FP8</t>
  </si>
  <si>
    <t>Qwen3-4B-Instruct-2507-FP8</t>
  </si>
  <si>
    <t>https://huggingface.co/Qwen/Qwen3-4B-Instruct-2507-FP8</t>
  </si>
  <si>
    <t>Qwen3-4B-Instruct-2507</t>
  </si>
  <si>
    <t>Qwen3-4B-Thinking-2507</t>
  </si>
  <si>
    <t>https://huggingface.co/Qwen/Qwen3-4B-Thinking-2507</t>
  </si>
  <si>
    <t>Qwen3-Coder-30B-A3B-Instruct</t>
  </si>
  <si>
    <t>Qwen3-Coder-30B-A3B-Instruct-FP8</t>
  </si>
  <si>
    <t>https://huggingface.co/Qwen/Qwen3-Coder-30B-A3B-Instruct-FP8</t>
  </si>
  <si>
    <t>Qwen3-30B-A3B-Thinking-2507</t>
  </si>
  <si>
    <t>https://huggingface.co/Qwen/Qwen3-30B-A3B-Thinking-2507</t>
  </si>
  <si>
    <t>Qwen3-30B-A3B-Thinking-2507-FP8</t>
  </si>
  <si>
    <t>https://huggingface.co/Qwen/Qwen3-30B-A3B-Thinking-2507-FP8</t>
  </si>
  <si>
    <t>Qwen3-30B-A3B-Instruct-2507</t>
  </si>
  <si>
    <t>Qwen3-30B-A3B-Instruct-2507-FP8</t>
  </si>
  <si>
    <t>https://huggingface.co/Qwen/Qwen3-30B-A3B-Instruct-2507-FP8</t>
  </si>
  <si>
    <t>Qwen3-235B-A22B-Thinking-2507</t>
  </si>
  <si>
    <t>https://huggingface.co/Qwen/Qwen3-235B-A22B-Thinking-2507</t>
  </si>
  <si>
    <t>Qwen3-235B-A22B-Thinking-2507-FP8</t>
  </si>
  <si>
    <t>https://huggingface.co/Qwen/Qwen3-235B-A22B-Thinking-2507-FP8</t>
  </si>
  <si>
    <t>Qwen3-Coder-480B-A35B-Instruct-FP8</t>
  </si>
  <si>
    <t>https://huggingface.co/Qwen/Qwen3-Coder-480B-A35B-Instruct-FP8</t>
  </si>
  <si>
    <t>Qwen3-Coder-480B-A35B-Instruct</t>
  </si>
  <si>
    <t>Qwen3-235B-A22B-Instruct-2507-FP8</t>
  </si>
  <si>
    <t>https://huggingface.co/Qwen/Qwen3-235B-A22B-Instruct-2507-FP8</t>
  </si>
  <si>
    <t>Qwen3-235B-A22B-Instruct-2507</t>
  </si>
  <si>
    <t>Qwen3-14B-MLX-bf16</t>
  </si>
  <si>
    <t>https://huggingface.co/Qwen/Qwen3-14B-MLX-bf16</t>
  </si>
  <si>
    <t>Qwen3-235B-A22B-MLX-4bit</t>
  </si>
  <si>
    <t>https://huggingface.co/Qwen/Qwen3-235B-A22B-MLX-4bit</t>
  </si>
  <si>
    <t>Qwen3-32B-MLX-bf16</t>
  </si>
  <si>
    <t>https://huggingface.co/Qwen/Qwen3-32B-MLX-bf16</t>
  </si>
  <si>
    <t>Qwen3-30B-A3B-MLX-4bit</t>
  </si>
  <si>
    <t>https://huggingface.co/Qwen/Qwen3-30B-A3B-MLX-4bit</t>
  </si>
  <si>
    <t>Qwen3-32B-MLX-8bit</t>
  </si>
  <si>
    <t>https://huggingface.co/Qwen/Qwen3-32B-MLX-8bit</t>
  </si>
  <si>
    <t>Qwen3-32B-MLX-4bit</t>
  </si>
  <si>
    <t>https://huggingface.co/Qwen/Qwen3-32B-MLX-4bit</t>
  </si>
  <si>
    <t>Qwen3-30B-A3B-MLX-8bit</t>
  </si>
  <si>
    <t>https://huggingface.co/Qwen/Qwen3-30B-A3B-MLX-8bit</t>
  </si>
  <si>
    <t>Qwen3-30B-A3B-MLX-bf16</t>
  </si>
  <si>
    <t>https://huggingface.co/Qwen/Qwen3-30B-A3B-MLX-bf16</t>
  </si>
  <si>
    <t>Qwen3-235B-A22B-MLX-bf16</t>
  </si>
  <si>
    <t>https://huggingface.co/Qwen/Qwen3-235B-A22B-MLX-bf16</t>
  </si>
  <si>
    <t>Qwen3-235B-A22B-MLX-8bit</t>
  </si>
  <si>
    <t>https://huggingface.co/Qwen/Qwen3-235B-A22B-MLX-8bit</t>
  </si>
  <si>
    <t>Qwen3-32B-MLX-6bit</t>
  </si>
  <si>
    <t>https://huggingface.co/Qwen/Qwen3-32B-MLX-6bit</t>
  </si>
  <si>
    <t>Qwen3-30B-A3B-MLX-6bit</t>
  </si>
  <si>
    <t>https://huggingface.co/Qwen/Qwen3-30B-A3B-MLX-6bit</t>
  </si>
  <si>
    <t>Qwen3-235B-A22B-MLX-6bit</t>
  </si>
  <si>
    <t>https://huggingface.co/Qwen/Qwen3-235B-A22B-MLX-6bit</t>
  </si>
  <si>
    <t>Qwen3-Embedding-4B-GGUF</t>
  </si>
  <si>
    <t>https://huggingface.co/Qwen/Qwen3-Embedding-4B-GGUF</t>
  </si>
  <si>
    <t>Qwen3-Embedding-0.6B-GGUF</t>
  </si>
  <si>
    <t>https://huggingface.co/Qwen/Qwen3-Embedding-0.6B-GGUF</t>
  </si>
  <si>
    <t>Qwen3-Embedding-8B-GGUF</t>
  </si>
  <si>
    <t>https://huggingface.co/Qwen/Qwen3-Embedding-8B-GGUF</t>
  </si>
  <si>
    <t>Qwen3-8B-MLX-bf16</t>
  </si>
  <si>
    <t>https://huggingface.co/Qwen/Qwen3-8B-MLX-bf16</t>
  </si>
  <si>
    <t>Qwen3-0.6B-MLX-4bit</t>
  </si>
  <si>
    <t>https://huggingface.co/Qwen/Qwen3-0.6B-MLX-4bit</t>
  </si>
  <si>
    <t>Qwen3-0.6B-MLX-bf16</t>
  </si>
  <si>
    <t>https://huggingface.co/Qwen/Qwen3-0.6B-MLX-bf16</t>
  </si>
  <si>
    <t>Qwen3-1.7B-MLX-6bit</t>
  </si>
  <si>
    <t>https://huggingface.co/Qwen/Qwen3-1.7B-MLX-6bit</t>
  </si>
  <si>
    <t>Qwen3-1.7B-MLX-bf16</t>
  </si>
  <si>
    <t>https://huggingface.co/Qwen/Qwen3-1.7B-MLX-bf16</t>
  </si>
  <si>
    <t>Qwen3-4B-MLX-4bit</t>
  </si>
  <si>
    <t>https://huggingface.co/Qwen/Qwen3-4B-MLX-4bit</t>
  </si>
  <si>
    <t>Qwen3-8B-MLX-4bit</t>
  </si>
  <si>
    <t>https://huggingface.co/Qwen/Qwen3-8B-MLX-4bit</t>
  </si>
  <si>
    <t>Qwen3-1.7B-MLX-4bit</t>
  </si>
  <si>
    <t>https://huggingface.co/Qwen/Qwen3-1.7B-MLX-4bit</t>
  </si>
  <si>
    <t>Qwen3-0.6B-MLX-8bit</t>
  </si>
  <si>
    <t>https://huggingface.co/Qwen/Qwen3-0.6B-MLX-8bit</t>
  </si>
  <si>
    <t>Qwen3-8B-MLX-8bit</t>
  </si>
  <si>
    <t>https://huggingface.co/Qwen/Qwen3-8B-MLX-8bit</t>
  </si>
  <si>
    <t>Qwen3-14B-MLX-4bit</t>
  </si>
  <si>
    <t>https://huggingface.co/Qwen/Qwen3-14B-MLX-4bit</t>
  </si>
  <si>
    <t>Qwen3-4B-MLX-6bit</t>
  </si>
  <si>
    <t>https://huggingface.co/Qwen/Qwen3-4B-MLX-6bit</t>
  </si>
  <si>
    <t>Qwen3-0.6B-MLX-6bit</t>
  </si>
  <si>
    <t>https://huggingface.co/Qwen/Qwen3-0.6B-MLX-6bit</t>
  </si>
  <si>
    <t>Qwen3-4B-MLX-bf16</t>
  </si>
  <si>
    <t>https://huggingface.co/Qwen/Qwen3-4B-MLX-bf16</t>
  </si>
  <si>
    <t>Qwen3-4B-MLX-8bit</t>
  </si>
  <si>
    <t>https://huggingface.co/Qwen/Qwen3-4B-MLX-8bit</t>
  </si>
  <si>
    <t>Qwen3-14B-MLX-8bit</t>
  </si>
  <si>
    <t>https://huggingface.co/Qwen/Qwen3-14B-MLX-8bit</t>
  </si>
  <si>
    <t>Qwen3-8B-MLX-6bit</t>
  </si>
  <si>
    <t>https://huggingface.co/Qwen/Qwen3-8B-MLX-6bit</t>
  </si>
  <si>
    <t>Qwen3-14B-MLX-6bit</t>
  </si>
  <si>
    <t>https://huggingface.co/Qwen/Qwen3-14B-MLX-6bit</t>
  </si>
  <si>
    <t>Qwen3-1.7B-MLX-8bit</t>
  </si>
  <si>
    <t>https://huggingface.co/Qwen/Qwen3-1.7B-MLX-8bit</t>
  </si>
  <si>
    <t>Qwen3-235B-A22B-GGUF</t>
  </si>
  <si>
    <t>https://huggingface.co/Qwen/Qwen3-235B-A22B-GGUF</t>
  </si>
  <si>
    <t>Qwen3-235B-A22B-GPTQ-Int4</t>
  </si>
  <si>
    <t>https://huggingface.co/Qwen/Qwen3-235B-A22B-GPTQ-Int4</t>
  </si>
  <si>
    <t>Qwen3-0.6B-GPTQ-Int8</t>
  </si>
  <si>
    <t>https://huggingface.co/Qwen/Qwen3-0.6B-GPTQ-Int8</t>
  </si>
  <si>
    <t>Qwen3-1.7B-GPTQ-Int8</t>
  </si>
  <si>
    <t>https://huggingface.co/Qwen/Qwen3-1.7B-GPTQ-Int8</t>
  </si>
  <si>
    <t>Qwen3-4B-AWQ</t>
  </si>
  <si>
    <t>https://huggingface.co/Qwen/Qwen3-4B-AWQ</t>
  </si>
  <si>
    <t>Qwen3-30B-A3B-GPTQ-Int4</t>
  </si>
  <si>
    <t>https://huggingface.co/Qwen/Qwen3-30B-A3B-GPTQ-Int4</t>
  </si>
  <si>
    <t>Qwen3-4B-GGUF</t>
  </si>
  <si>
    <t>https://huggingface.co/Qwen/Qwen3-4B-GGUF</t>
  </si>
  <si>
    <t>Qwen3-0.6B-GGUF</t>
  </si>
  <si>
    <t>https://huggingface.co/Qwen/Qwen3-0.6B-GGUF</t>
  </si>
  <si>
    <t>Qwen3-30B-A3B-GGUF</t>
  </si>
  <si>
    <t>https://huggingface.co/Qwen/Qwen3-30B-A3B-GGUF</t>
  </si>
  <si>
    <t>Qwen3-1.7B-GGUF</t>
  </si>
  <si>
    <t>https://huggingface.co/Qwen/Qwen3-1.7B-GGUF</t>
  </si>
  <si>
    <t>Qwen3-8B-AWQ</t>
  </si>
  <si>
    <t>https://huggingface.co/Qwen/Qwen3-8B-AWQ</t>
  </si>
  <si>
    <t>Qwen3-8B-GGUF</t>
  </si>
  <si>
    <t>https://huggingface.co/Qwen/Qwen3-8B-GGUF</t>
  </si>
  <si>
    <t>Qwen3-32B-AWQ</t>
  </si>
  <si>
    <t>https://huggingface.co/Qwen/Qwen3-32B-AWQ</t>
  </si>
  <si>
    <t>Qwen3-14B-AWQ</t>
  </si>
  <si>
    <t>https://huggingface.co/Qwen/Qwen3-14B-AWQ</t>
  </si>
  <si>
    <t>Qwen3-32B-GGUF</t>
  </si>
  <si>
    <t>https://huggingface.co/Qwen/Qwen3-32B-GGUF</t>
  </si>
  <si>
    <t>Qwen3-14B-GGUF</t>
  </si>
  <si>
    <t>https://huggingface.co/Qwen/Qwen3-14B-GGUF</t>
  </si>
  <si>
    <t>Qwen3-4B-Base</t>
  </si>
  <si>
    <t>https://huggingface.co/Qwen/Qwen3-4B-Base</t>
  </si>
  <si>
    <t>Qwen3-8B-Base</t>
  </si>
  <si>
    <t>https://huggingface.co/Qwen/Qwen3-8B-Base</t>
  </si>
  <si>
    <t>Qwen3-0.6B-Base</t>
  </si>
  <si>
    <t>https://huggingface.co/Qwen/Qwen3-0.6B-Base</t>
  </si>
  <si>
    <t>Qwen3-1.7B-Base</t>
  </si>
  <si>
    <t>https://huggingface.co/Qwen/Qwen3-1.7B-Base</t>
  </si>
  <si>
    <t>Qwen3-8B-FP8</t>
  </si>
  <si>
    <t>https://huggingface.co/Qwen/Qwen3-8B-FP8</t>
  </si>
  <si>
    <t>Qwen3-14B-Base</t>
  </si>
  <si>
    <t>https://huggingface.co/Qwen/Qwen3-14B-Base</t>
  </si>
  <si>
    <t>Qwen3-14B-FP8</t>
  </si>
  <si>
    <t>https://huggingface.co/Qwen/Qwen3-14B-FP8</t>
  </si>
  <si>
    <t>Qwen3-235B-A22B-FP8</t>
  </si>
  <si>
    <t>https://huggingface.co/Qwen/Qwen3-235B-A22B-FP8</t>
  </si>
  <si>
    <t>Qwen3-32B-FP8</t>
  </si>
  <si>
    <t>https://huggingface.co/Qwen/Qwen3-32B-FP8</t>
  </si>
  <si>
    <t>Qwen3-30B-A3B-FP8</t>
  </si>
  <si>
    <t>https://huggingface.co/Qwen/Qwen3-30B-A3B-FP8</t>
  </si>
  <si>
    <t>Qwen3-30B-A3B-Base</t>
  </si>
  <si>
    <t>https://huggingface.co/Qwen/Qwen3-30B-A3B-Base</t>
  </si>
  <si>
    <t>Qwen3-1.7B-FP8</t>
  </si>
  <si>
    <t>https://huggingface.co/Qwen/Qwen3-1.7B-FP8</t>
  </si>
  <si>
    <t>Qwen3-4B-FP8</t>
  </si>
  <si>
    <t>https://huggingface.co/Qwen/Qwen3-4B-FP8</t>
  </si>
  <si>
    <t>Qwen3-0.6B-FP8</t>
  </si>
  <si>
    <t>https://huggingface.co/Qwen/Qwen3-0.6B-FP8</t>
  </si>
  <si>
    <t>Qwen3-8B</t>
  </si>
  <si>
    <t>https://huggingface.co/Qwen/Qwen3-8B</t>
  </si>
  <si>
    <t>Qwen3-0.6B</t>
  </si>
  <si>
    <t>https://huggingface.co/Qwen/Qwen3-0.6B</t>
  </si>
  <si>
    <t>Qwen3-1.7B</t>
  </si>
  <si>
    <t>https://huggingface.co/Qwen/Qwen3-1.7B</t>
  </si>
  <si>
    <t>Qwen3-4B</t>
  </si>
  <si>
    <t>https://huggingface.co/Qwen/Qwen3-4B</t>
  </si>
  <si>
    <t>Qwen3-30B-A3B</t>
  </si>
  <si>
    <t>https://huggingface.co/Qwen/Qwen3-30B-A3B</t>
  </si>
  <si>
    <t>Qwen3-32B</t>
  </si>
  <si>
    <t>https://huggingface.co/Qwen/Qwen3-32B</t>
  </si>
  <si>
    <t>Qwen3-14B</t>
  </si>
  <si>
    <t>https://huggingface.co/Qwen/Qwen3-14B</t>
  </si>
  <si>
    <t>Qwen3-235B-A22B</t>
  </si>
  <si>
    <t>https://huggingface.co/Qwen/Qwen3-235B-A22B</t>
  </si>
  <si>
    <t>Qwen2.5-VL-32B-Instruct-AWQ</t>
  </si>
  <si>
    <t>https://huggingface.co/Qwen/Qwen2.5-VL-32B-Instruct-AWQ</t>
  </si>
  <si>
    <t>Qwen2.5-VL-32B-Instruct</t>
  </si>
  <si>
    <t>https://huggingface.co/Qwen/Qwen2.5-VL-32B-Instruct</t>
  </si>
  <si>
    <t>QwQ-32B</t>
  </si>
  <si>
    <t>https://huggingface.co/Qwen/QwQ-32B</t>
  </si>
  <si>
    <t>QwQ-32B-GGUF</t>
  </si>
  <si>
    <t>https://huggingface.co/Qwen/QwQ-32B-GGUF</t>
  </si>
  <si>
    <t>QwQ-32B-AWQ</t>
  </si>
  <si>
    <t>https://huggingface.co/Qwen/QwQ-32B-AWQ</t>
  </si>
  <si>
    <t>Qwen2.5-VL-7B-Instruct-AWQ</t>
  </si>
  <si>
    <t>https://huggingface.co/Qwen/Qwen2.5-VL-7B-Instruct-AWQ</t>
  </si>
  <si>
    <t>Qwen2.5-VL-3B-Instruct-AWQ</t>
  </si>
  <si>
    <t>https://huggingface.co/Qwen/Qwen2.5-VL-3B-Instruct-AWQ</t>
  </si>
  <si>
    <t>Qwen2.5-VL-72B-Instruct-AWQ</t>
  </si>
  <si>
    <t>https://huggingface.co/Qwen/Qwen2.5-VL-72B-Instruct-AWQ</t>
  </si>
  <si>
    <t>Qwen2.5-VL-72B-Instruct</t>
  </si>
  <si>
    <t>https://huggingface.co/Qwen/Qwen2.5-VL-72B-Instruct</t>
  </si>
  <si>
    <t>Qwen2.5-VL-7B-Instruct</t>
  </si>
  <si>
    <t>https://huggingface.co/Qwen/Qwen2.5-VL-7B-Instruct</t>
  </si>
  <si>
    <t>Qwen2.5-VL-3B-Instruct</t>
  </si>
  <si>
    <t>https://huggingface.co/Qwen/Qwen2.5-VL-3B-Instruct</t>
  </si>
  <si>
    <t>deepseek-ai</t>
  </si>
  <si>
    <t>DeepSeek-R1-0528-Qwen3-8B</t>
  </si>
  <si>
    <t>https://huggingface.co/deepseek-ai/DeepSeek-R1-0528-Qwen3-8B</t>
  </si>
  <si>
    <t>DeepSeek-R1-0528</t>
  </si>
  <si>
    <t>https://huggingface.co/deepseek-ai/DeepSeek-R1-0528</t>
  </si>
  <si>
    <t>DeepSeek-Prover-V2-671B</t>
  </si>
  <si>
    <t>https://huggingface.co/deepseek-ai/DeepSeek-Prover-V2-671B</t>
  </si>
  <si>
    <t>DeepSeek-V3-0324</t>
  </si>
  <si>
    <t>https://huggingface.co/deepseek-ai/DeepSeek-V3-0324</t>
  </si>
  <si>
    <t>DeepSeek-R1-Distill-Qwen-7B</t>
  </si>
  <si>
    <t>DeepSeek-R1-Distill-Qwen-32B</t>
  </si>
  <si>
    <t>https://huggingface.co/deepseek-ai/DeepSeek-R1-Distill-Qwen-32B</t>
  </si>
  <si>
    <t>DeepSeek-R1-Distill-Llama-8B</t>
  </si>
  <si>
    <t>https://huggingface.co/deepseek-ai/DeepSeek-R1-Distill-Llama-8B</t>
  </si>
  <si>
    <t>DeepSeek-R1</t>
  </si>
  <si>
    <t>https://huggingface.co/deepseek-ai/DeepSeek-R1</t>
  </si>
  <si>
    <t>DeepSeek-R1-Distill-Qwen-1.5B</t>
  </si>
  <si>
    <t>https://huggingface.co/deepseek-ai/DeepSeek-R1-Distill-Qwen-1.5B</t>
  </si>
  <si>
    <t>DeepSeek-R1-Distill-Llama-70B</t>
  </si>
  <si>
    <t>https://huggingface.co/deepseek-ai/DeepSeek-R1-Distill-Llama-70B</t>
  </si>
  <si>
    <t>DeepSeek-R1-Distill-Qwen-14B</t>
  </si>
  <si>
    <t>https://huggingface.co/deepseek-ai/DeepSeek-R1-Distill-Qwen-14B</t>
  </si>
  <si>
    <t>DeepSeek-R1-Zero</t>
  </si>
  <si>
    <t>https://huggingface.co/deepseek-ai/DeepSeek-R1-Zero</t>
  </si>
  <si>
    <t>DeepSeek-V3</t>
  </si>
  <si>
    <t>https://huggingface.co/deepseek-ai/DeepSeek-V3</t>
  </si>
  <si>
    <t>deepseek-vl2-small</t>
  </si>
  <si>
    <t>https://huggingface.co/deepseek-ai/deepseek-vl2-small</t>
  </si>
  <si>
    <t>DeepSeek-V2.5-1210</t>
  </si>
  <si>
    <t>https://huggingface.co/deepseek-ai/DeepSeek-V2.5-1210</t>
  </si>
  <si>
    <t>DeepSeek-V2.5</t>
  </si>
  <si>
    <t>https://huggingface.co/deepseek-ai/DeepSeek-V2.5</t>
  </si>
  <si>
    <t>DeepSeek-Coder-V2-Instruct-0724</t>
  </si>
  <si>
    <t>https://huggingface.co/deepseek-ai/DeepSeek-Coder-V2-Instruct-0724</t>
  </si>
  <si>
    <t>DeepSeek-V2-Chat-0628</t>
  </si>
  <si>
    <t>https://huggingface.co/deepseek-ai/DeepSeek-V2-Chat-0628</t>
  </si>
  <si>
    <t>ESFT-vanilla-lite</t>
  </si>
  <si>
    <t>https://huggingface.co/deepseek-ai/ESFT-vanilla-lite</t>
  </si>
  <si>
    <t>ESFT-token-translation-lite</t>
  </si>
  <si>
    <t>https://huggingface.co/deepseek-ai/ESFT-token-translation-lite</t>
  </si>
  <si>
    <t>ESFT-gate-summary-lite</t>
  </si>
  <si>
    <t>https://huggingface.co/deepseek-ai/ESFT-gate-summary-lite</t>
  </si>
  <si>
    <t>ESFT-token-math-lite</t>
  </si>
  <si>
    <t>https://huggingface.co/deepseek-ai/ESFT-token-math-lite</t>
  </si>
  <si>
    <t>ESFT-gate-translation-lite</t>
  </si>
  <si>
    <t>https://huggingface.co/deepseek-ai/ESFT-gate-translation-lite</t>
  </si>
  <si>
    <t>ESFT-gate-math-lite</t>
  </si>
  <si>
    <t>https://huggingface.co/deepseek-ai/ESFT-gate-math-lite</t>
  </si>
  <si>
    <t>ESFT-token-law-lite</t>
  </si>
  <si>
    <t>https://huggingface.co/deepseek-ai/ESFT-token-law-lite</t>
  </si>
  <si>
    <t>ESFT-token-summary-lite</t>
  </si>
  <si>
    <t>https://huggingface.co/deepseek-ai/ESFT-token-summary-lite</t>
  </si>
  <si>
    <t>ESFT-gate-code-lite</t>
  </si>
  <si>
    <t>https://huggingface.co/deepseek-ai/ESFT-gate-code-lite</t>
  </si>
  <si>
    <t>ESFT-gate-law-lite</t>
  </si>
  <si>
    <t>https://huggingface.co/deepseek-ai/ESFT-gate-law-lite</t>
  </si>
  <si>
    <t>ESFT-token-code-lite</t>
  </si>
  <si>
    <t>https://huggingface.co/deepseek-ai/ESFT-token-code-lite</t>
  </si>
  <si>
    <t>ESFT-token-intent-lite</t>
  </si>
  <si>
    <t>https://huggingface.co/deepseek-ai/ESFT-token-intent-lite</t>
  </si>
  <si>
    <t>ESFT-gate-intent-lite</t>
  </si>
  <si>
    <t>https://huggingface.co/deepseek-ai/ESFT-gate-intent-lite</t>
  </si>
  <si>
    <t>DeepSeek-Coder-V2-Lite-Instruct</t>
  </si>
  <si>
    <t>https://huggingface.co/deepseek-ai/DeepSeek-Coder-V2-Lite-Instruct</t>
  </si>
  <si>
    <t>DeepSeek-Coder-V2-Instruct</t>
  </si>
  <si>
    <t>https://huggingface.co/deepseek-ai/DeepSeek-Coder-V2-Instruct</t>
  </si>
  <si>
    <t>DeepSeek-Coder-V2-Lite-Base</t>
  </si>
  <si>
    <t>https://huggingface.co/deepseek-ai/DeepSeek-Coder-V2-Lite-Base</t>
  </si>
  <si>
    <t>DeepSeek-Coder-V2-Base</t>
  </si>
  <si>
    <t>https://huggingface.co/deepseek-ai/DeepSeek-Coder-V2-Base</t>
  </si>
  <si>
    <t>DeepSeek-V2-Lite-Chat</t>
  </si>
  <si>
    <t>https://huggingface.co/deepseek-ai/DeepSeek-V2-Lite-Chat</t>
  </si>
  <si>
    <t>DeepSeek-V2-Lite</t>
  </si>
  <si>
    <t>https://huggingface.co/deepseek-ai/DeepSeek-V2-Lite</t>
  </si>
  <si>
    <t>DeepSeek-V2-Chat</t>
  </si>
  <si>
    <t>https://huggingface.co/deepseek-ai/DeepSeek-V2-Chat</t>
  </si>
  <si>
    <t>DeepSeek-V2</t>
  </si>
  <si>
    <t>https://huggingface.co/deepseek-ai/DeepSeek-V2</t>
  </si>
  <si>
    <t>deepseek-vl-1.3b-chat</t>
  </si>
  <si>
    <t>https://huggingface.co/deepseek-ai/deepseek-vl-1.3b-chat</t>
  </si>
  <si>
    <t>deepseek-vl-7b-chat</t>
  </si>
  <si>
    <t>https://huggingface.co/deepseek-ai/deepseek-vl-7b-chat</t>
  </si>
  <si>
    <t>deepseek-math-7b-instruct</t>
  </si>
  <si>
    <t>https://huggingface.co/deepseek-ai/deepseek-math-7b-instruct</t>
  </si>
  <si>
    <t>deepseek-math-7b-rl</t>
  </si>
  <si>
    <t>https://huggingface.co/deepseek-ai/deepseek-math-7b-rl</t>
  </si>
  <si>
    <t>deepseek-coder-7b-instruct-v1.5</t>
  </si>
  <si>
    <t>https://huggingface.co/deepseek-ai/deepseek-coder-7b-instruct-v1.5</t>
  </si>
  <si>
    <t>deepseek-moe-16b-chat</t>
  </si>
  <si>
    <t>https://huggingface.co/deepseek-ai/deepseek-moe-16b-chat</t>
  </si>
  <si>
    <t>deepseek-llm-7b-chat</t>
  </si>
  <si>
    <t>https://huggingface.co/deepseek-ai/deepseek-llm-7b-chat</t>
  </si>
  <si>
    <t>deepseek-llm-67b-chat</t>
  </si>
  <si>
    <t>https://huggingface.co/deepseek-ai/deepseek-llm-67b-chat</t>
  </si>
  <si>
    <t>deepseek-coder-33b-instruct</t>
  </si>
  <si>
    <t>https://huggingface.co/deepseek-ai/deepseek-coder-33b-instruct</t>
  </si>
  <si>
    <t>deepseek-coder-6.7b-instruct</t>
  </si>
  <si>
    <t>https://huggingface.co/deepseek-ai/deepseek-coder-6.7b-instruct</t>
  </si>
  <si>
    <t>deepseek-coder-1.3b-instruct</t>
  </si>
  <si>
    <t>https://huggingface.co/deepseek-ai/deepseek-coder-1.3b-instruct</t>
  </si>
  <si>
    <t>zai-org</t>
  </si>
  <si>
    <t>GLM-4.5V-FP8</t>
  </si>
  <si>
    <t>https://huggingface.co/zai-org/GLM-4.5V-FP8</t>
  </si>
  <si>
    <t>GLM-4.5V</t>
  </si>
  <si>
    <t>https://huggingface.co/zai-org/GLM-4.5V</t>
  </si>
  <si>
    <t>GLM-4.5-Air</t>
  </si>
  <si>
    <t>GLM-4.5</t>
  </si>
  <si>
    <t>GLM-4.5-Air-FP8</t>
  </si>
  <si>
    <t>https://huggingface.co/zai-org/GLM-4.5-Air-FP8</t>
  </si>
  <si>
    <t>GLM-4.5-FP8</t>
  </si>
  <si>
    <t>https://huggingface.co/zai-org/GLM-4.5-FP8</t>
  </si>
  <si>
    <t>GLM-4.1V-9B-Thinking</t>
  </si>
  <si>
    <t>https://huggingface.co/zai-org/GLM-4.1V-9B-Thinking</t>
  </si>
  <si>
    <t>GLM-Z1-Rumination-32B-0414</t>
  </si>
  <si>
    <t>https://huggingface.co/zai-org/GLM-Z1-Rumination-32B-0414</t>
  </si>
  <si>
    <t>GLM-Z1-32B-0414</t>
  </si>
  <si>
    <t>https://huggingface.co/zai-org/GLM-Z1-32B-0414</t>
  </si>
  <si>
    <t>GLM-Z1-9B-0414</t>
  </si>
  <si>
    <t>https://huggingface.co/zai-org/GLM-Z1-9B-0414</t>
  </si>
  <si>
    <t>GLM-4-32B-0414</t>
  </si>
  <si>
    <t>https://huggingface.co/zai-org/GLM-4-32B-0414</t>
  </si>
  <si>
    <t>GLM-4-9B-0414</t>
  </si>
  <si>
    <t>https://huggingface.co/zai-org/GLM-4-9B-0414</t>
  </si>
  <si>
    <t>SWE-Dev-32B</t>
  </si>
  <si>
    <t>https://huggingface.co/zai-org/SWE-Dev-32B</t>
  </si>
  <si>
    <t>VisionReward-Video</t>
  </si>
  <si>
    <t>https://huggingface.co/zai-org/VisionReward-Video</t>
  </si>
  <si>
    <t>glm-edge-v-5b-gguf</t>
  </si>
  <si>
    <t>https://huggingface.co/zai-org/glm-edge-v-5b-gguf</t>
  </si>
  <si>
    <t>glm-edge-v-2b-gguf</t>
  </si>
  <si>
    <t>https://huggingface.co/zai-org/glm-edge-v-2b-gguf</t>
  </si>
  <si>
    <t>glm-edge-1.5b-chat-gguf</t>
  </si>
  <si>
    <t>https://huggingface.co/zai-org/glm-edge-1.5b-chat-gguf</t>
  </si>
  <si>
    <t>glm-edge-4b-chat-gguf</t>
  </si>
  <si>
    <t>https://huggingface.co/zai-org/glm-edge-4b-chat-gguf</t>
  </si>
  <si>
    <t>glm-edge-v-2b</t>
  </si>
  <si>
    <t>https://huggingface.co/zai-org/glm-edge-v-2b</t>
  </si>
  <si>
    <t>glm-edge-v-5b</t>
  </si>
  <si>
    <t>https://huggingface.co/zai-org/glm-edge-v-5b</t>
  </si>
  <si>
    <t>glm-edge-1.5b-chat</t>
  </si>
  <si>
    <t>https://huggingface.co/zai-org/glm-edge-1.5b-chat</t>
  </si>
  <si>
    <t>glm-edge-4b-chat</t>
  </si>
  <si>
    <t>https://huggingface.co/zai-org/glm-edge-4b-chat</t>
  </si>
  <si>
    <t>LongReward-glm4-9b-DPO</t>
  </si>
  <si>
    <t>https://huggingface.co/zai-org/LongReward-glm4-9b-DPO</t>
  </si>
  <si>
    <t>glm-4-9b-chat-1m-hf</t>
  </si>
  <si>
    <t>https://huggingface.co/zai-org/glm-4-9b-chat-1m-hf</t>
  </si>
  <si>
    <t>glm-4-9b-chat-hf</t>
  </si>
  <si>
    <t>https://huggingface.co/zai-org/glm-4-9b-chat-hf</t>
  </si>
  <si>
    <t>LongCite-glm4-9b</t>
  </si>
  <si>
    <t>https://huggingface.co/zai-org/LongCite-glm4-9b</t>
  </si>
  <si>
    <t>LongWriter-glm4-9b</t>
  </si>
  <si>
    <t>https://huggingface.co/zai-org/LongWriter-glm4-9b</t>
  </si>
  <si>
    <t>cogvlm2-video-llama3-chat</t>
  </si>
  <si>
    <t>https://huggingface.co/zai-org/cogvlm2-video-llama3-chat</t>
  </si>
  <si>
    <t>cogvlm2-video-llama3-base</t>
  </si>
  <si>
    <t>https://huggingface.co/zai-org/cogvlm2-video-llama3-base</t>
  </si>
  <si>
    <t>cogvlm2-llama3-chat-19B-tgi</t>
  </si>
  <si>
    <t>https://huggingface.co/zai-org/cogvlm2-llama3-chat-19B-tgi</t>
  </si>
  <si>
    <t>cogvlm2-llama3-chinese-chat-19B-tgi</t>
  </si>
  <si>
    <t>https://huggingface.co/zai-org/cogvlm2-llama3-chinese-chat-19B-tgi</t>
  </si>
  <si>
    <t>glm-4-9b-chat</t>
  </si>
  <si>
    <t>https://huggingface.co/zai-org/glm-4-9b-chat</t>
  </si>
  <si>
    <t>glm-4-9b-chat-1m</t>
  </si>
  <si>
    <t>https://huggingface.co/zai-org/glm-4-9b-chat-1m</t>
  </si>
  <si>
    <t>cogvlm2-llama3-chat-19B-int4</t>
  </si>
  <si>
    <t>https://huggingface.co/zai-org/cogvlm2-llama3-chat-19B-int4</t>
  </si>
  <si>
    <t>cogvlm2-llama3-chinese-chat-19B-int4</t>
  </si>
  <si>
    <t>https://huggingface.co/zai-org/cogvlm2-llama3-chinese-chat-19B-int4</t>
  </si>
  <si>
    <t>cogvlm2-llama3-chat-19B</t>
  </si>
  <si>
    <t>https://huggingface.co/zai-org/cogvlm2-llama3-chat-19B</t>
  </si>
  <si>
    <t>cogvlm2-llama3-chinese-chat-19B</t>
  </si>
  <si>
    <t>https://huggingface.co/zai-org/cogvlm2-llama3-chinese-chat-19B</t>
  </si>
  <si>
    <t>chatglm3-6b-128k</t>
  </si>
  <si>
    <t>https://huggingface.co/zai-org/chatglm3-6b-128k</t>
  </si>
  <si>
    <t>cogagent-chat-hf</t>
  </si>
  <si>
    <t>https://huggingface.co/zai-org/cogagent-chat-hf</t>
  </si>
  <si>
    <t>cogvlm-chat-hf</t>
  </si>
  <si>
    <t>https://huggingface.co/zai-org/cogvlm-chat-hf</t>
  </si>
  <si>
    <t>chatglm3-6b-base</t>
  </si>
  <si>
    <t>https://huggingface.co/zai-org/chatglm3-6b-base</t>
  </si>
  <si>
    <t>chatglm3-6b-32k</t>
  </si>
  <si>
    <t>https://huggingface.co/zai-org/chatglm3-6b-32k</t>
  </si>
  <si>
    <t>chatglm3-6b</t>
  </si>
  <si>
    <t>https://huggingface.co/zai-org/chatglm3-6b</t>
  </si>
  <si>
    <t>chatglm2-6b-32k-int4</t>
  </si>
  <si>
    <t>https://huggingface.co/zai-org/chatglm2-6b-32k-int4</t>
  </si>
  <si>
    <t>chatglm2-6b-32k</t>
  </si>
  <si>
    <t>https://huggingface.co/zai-org/chatglm2-6b-32k</t>
  </si>
  <si>
    <t>chatglm2-6b-int4</t>
  </si>
  <si>
    <t>https://huggingface.co/zai-org/chatglm2-6b-int4</t>
  </si>
  <si>
    <t>chatglm2-6b</t>
  </si>
  <si>
    <t>https://huggingface.co/zai-org/chatglm2-6b</t>
  </si>
  <si>
    <t>chatglm-6b-int8</t>
  </si>
  <si>
    <t>https://huggingface.co/zai-org/chatglm-6b-int8</t>
  </si>
  <si>
    <t>chatglm-6b-int4-qe</t>
  </si>
  <si>
    <t>https://huggingface.co/zai-org/chatglm-6b-int4-qe</t>
  </si>
  <si>
    <t>chatglm-6b-int4</t>
  </si>
  <si>
    <t>https://huggingface.co/zai-org/chatglm-6b-int4</t>
  </si>
  <si>
    <t>chatglm-6b</t>
  </si>
  <si>
    <t>https://huggingface.co/zai-org/chatglm-6b</t>
  </si>
  <si>
    <t>mistralai</t>
  </si>
  <si>
    <t>Devstral-Small-2507_gguf</t>
  </si>
  <si>
    <t>https://huggingface.co/mistralai/Devstral-Small-2507_gguf</t>
  </si>
  <si>
    <t>Mistral-Small-3.2-24B-Instruct-2506</t>
  </si>
  <si>
    <t>https://huggingface.co/mistralai/Mistral-Small-3.2-24B-Instruct-2506</t>
  </si>
  <si>
    <t>Magistral-Small-2506_gguf</t>
  </si>
  <si>
    <t>https://huggingface.co/mistralai/Magistral-Small-2506_gguf</t>
  </si>
  <si>
    <t>Magistral-Small-2506</t>
  </si>
  <si>
    <t>https://huggingface.co/mistralai/Magistral-Small-2506</t>
  </si>
  <si>
    <t>Devstral-Small-2505_gguf</t>
  </si>
  <si>
    <t>https://huggingface.co/mistralai/Devstral-Small-2505_gguf</t>
  </si>
  <si>
    <t>Mistral-Nemo-Instruct-FP8-2407</t>
  </si>
  <si>
    <t>https://huggingface.co/mistralai/Mistral-Nemo-Instruct-FP8-2407</t>
  </si>
  <si>
    <t>Mistral-Small-3.1-24B-Instruct-2503</t>
  </si>
  <si>
    <t>https://huggingface.co/mistralai/Mistral-Small-3.1-24B-Instruct-2503</t>
  </si>
  <si>
    <t>Mistral-Small-24B-Instruct-2501</t>
  </si>
  <si>
    <t>https://huggingface.co/mistralai/Mistral-Small-24B-Instruct-2501</t>
  </si>
  <si>
    <t>Mistral-Large-Instruct-2411</t>
  </si>
  <si>
    <t>https://huggingface.co/mistralai/Mistral-Large-Instruct-2411</t>
  </si>
  <si>
    <t>Pixtral-Large-Instruct-2411</t>
  </si>
  <si>
    <t>https://huggingface.co/mistralai/Pixtral-Large-Instruct-2411</t>
  </si>
  <si>
    <t>Ministral-8B-Instruct-2410</t>
  </si>
  <si>
    <t>https://huggingface.co/mistralai/Ministral-8B-Instruct-2410</t>
  </si>
  <si>
    <t>Mistral-Small-Instruct-2409</t>
  </si>
  <si>
    <t>https://huggingface.co/mistralai/Mistral-Small-Instruct-2409</t>
  </si>
  <si>
    <t>Mistral-Large-Instruct-2407</t>
  </si>
  <si>
    <t>https://huggingface.co/mistralai/Mistral-Large-Instruct-2407</t>
  </si>
  <si>
    <t>Mistral-Nemo-Instruct-2407</t>
  </si>
  <si>
    <t>https://huggingface.co/mistralai/Mistral-Nemo-Instruct-2407</t>
  </si>
  <si>
    <t>Mistral-7B-Instruct-v0.3</t>
  </si>
  <si>
    <t>https://huggingface.co/mistralai/Mistral-7B-Instruct-v0.3</t>
  </si>
  <si>
    <t>Mixtral-8x22B-Instruct-v0.1</t>
  </si>
  <si>
    <t>https://huggingface.co/mistralai/Mixtral-8x22B-Instruct-v0.1</t>
  </si>
  <si>
    <t>Mistral-7B-Instruct-v0.2</t>
  </si>
  <si>
    <t>https://huggingface.co/mistralai/Mistral-7B-Instruct-v0.2</t>
  </si>
  <si>
    <t>Mixtral-8x7B-Instruct-v0.1</t>
  </si>
  <si>
    <t>https://huggingface.co/mistralai/Mixtral-8x7B-Instruct-v0.1</t>
  </si>
  <si>
    <t>Mistral-7B-Instruct-v0.1</t>
  </si>
  <si>
    <t>https://huggingface.co/mistralai/Mistral-7B-Instruct-v0.1</t>
  </si>
  <si>
    <t>meta-llama</t>
  </si>
  <si>
    <t>Llama-Guard-4-12B</t>
  </si>
  <si>
    <t>https://huggingface.co/meta-llama/Llama-Guard-4-12B</t>
  </si>
  <si>
    <t>Llama-4-Maverick-17B-128E-Instruct-Original</t>
  </si>
  <si>
    <t>https://huggingface.co/meta-llama/Llama-4-Maverick-17B-128E-Instruct-Original</t>
  </si>
  <si>
    <t>Llama-4-Maverick-17B-128E-Instruct-FP8-Original</t>
  </si>
  <si>
    <t>https://huggingface.co/meta-llama/Llama-4-Maverick-17B-128E-Instruct-FP8-Original</t>
  </si>
  <si>
    <t>Llama-4-Scout-17B-16E-Instruct-Original</t>
  </si>
  <si>
    <t>https://huggingface.co/meta-llama/Llama-4-Scout-17B-16E-Instruct-Original</t>
  </si>
  <si>
    <t>Llama-4-Scout-17B-16E-Instruct</t>
  </si>
  <si>
    <t>https://huggingface.co/meta-llama/Llama-4-Scout-17B-16E-Instruct</t>
  </si>
  <si>
    <t>Llama-4-Scout-17B-16E</t>
  </si>
  <si>
    <t>https://huggingface.co/meta-llama/Llama-4-Scout-17B-16E</t>
  </si>
  <si>
    <t>Llama-4-Maverick-17B-128E</t>
  </si>
  <si>
    <t>https://huggingface.co/meta-llama/Llama-4-Maverick-17B-128E</t>
  </si>
  <si>
    <t>Llama-4-Maverick-17B-128E-Instruct-FP8</t>
  </si>
  <si>
    <t>https://huggingface.co/meta-llama/Llama-4-Maverick-17B-128E-Instruct-FP8</t>
  </si>
  <si>
    <t>Llama-4-Maverick-17B-128E-Instruct</t>
  </si>
  <si>
    <t>https://huggingface.co/meta-llama/Llama-4-Maverick-17B-128E-Instruct</t>
  </si>
  <si>
    <t>Llama-3.3-70B-Instruct</t>
  </si>
  <si>
    <t>https://huggingface.co/meta-llama/Llama-3.3-70B-Instruct</t>
  </si>
  <si>
    <t>Llama-3.2-1B-Instruct-QLORA_INT4_EO8</t>
  </si>
  <si>
    <t>https://huggingface.co/meta-llama/Llama-3.2-1B-Instruct-QLORA_INT4_EO8</t>
  </si>
  <si>
    <t>Llama-3.2-1B-Instruct-SpinQuant_INT4_EO8</t>
  </si>
  <si>
    <t>https://huggingface.co/meta-llama/Llama-3.2-1B-Instruct-SpinQuant_INT4_EO8</t>
  </si>
  <si>
    <t>Llama-3.2-3B-Instruct-QLORA_INT4_EO8</t>
  </si>
  <si>
    <t>https://huggingface.co/meta-llama/Llama-3.2-3B-Instruct-QLORA_INT4_EO8</t>
  </si>
  <si>
    <t>Llama-3.2-3B-Instruct-SpinQuant_INT4_EO8</t>
  </si>
  <si>
    <t>https://huggingface.co/meta-llama/Llama-3.2-3B-Instruct-SpinQuant_INT4_EO8</t>
  </si>
  <si>
    <t>Llama-Guard-3-1B</t>
  </si>
  <si>
    <t>https://huggingface.co/meta-llama/Llama-Guard-3-1B</t>
  </si>
  <si>
    <t>Llama-Guard-3-11B-Vision</t>
  </si>
  <si>
    <t>https://huggingface.co/meta-llama/Llama-Guard-3-11B-Vision</t>
  </si>
  <si>
    <t>Llama-3.2-90B-Vision-Instruct</t>
  </si>
  <si>
    <t>https://huggingface.co/meta-llama/Llama-3.2-90B-Vision-Instruct</t>
  </si>
  <si>
    <t>Llama-3.2-1B-Instruct</t>
  </si>
  <si>
    <t>https://huggingface.co/meta-llama/Llama-3.2-1B-Instruct</t>
  </si>
  <si>
    <t>Llama-3.2-3B-Instruct</t>
  </si>
  <si>
    <t>https://huggingface.co/meta-llama/Llama-3.2-3B-Instruct</t>
  </si>
  <si>
    <t>Llama-3.2-11B-Vision-Instruct</t>
  </si>
  <si>
    <t>https://huggingface.co/meta-llama/Llama-3.2-11B-Vision-Instruct</t>
  </si>
  <si>
    <t>Llama-Guard-3-8B</t>
  </si>
  <si>
    <t>https://huggingface.co/meta-llama/Llama-Guard-3-8B</t>
  </si>
  <si>
    <t>Llama-Guard-3-8B-INT8</t>
  </si>
  <si>
    <t>https://huggingface.co/meta-llama/Llama-Guard-3-8B-INT8</t>
  </si>
  <si>
    <t>Llama-3.1-405B-Instruct-FP8</t>
  </si>
  <si>
    <t>https://huggingface.co/meta-llama/Llama-3.1-405B-Instruct-FP8</t>
  </si>
  <si>
    <t>Llama-3.1-8B-Instruct</t>
  </si>
  <si>
    <t>Llama-3.1-70B-Instruct</t>
  </si>
  <si>
    <t>https://huggingface.co/meta-llama/Llama-3.1-70B-Instruct</t>
  </si>
  <si>
    <t>Llama-3.1-405B-Instruct</t>
  </si>
  <si>
    <t>https://huggingface.co/meta-llama/Llama-3.1-405B-Instruct</t>
  </si>
  <si>
    <t>Meta-Llama-3-8B-Instruct</t>
  </si>
  <si>
    <t>https://huggingface.co/meta-llama/Meta-Llama-3-8B-Instruct</t>
  </si>
  <si>
    <t>Meta-Llama-3-70B-Instruct</t>
  </si>
  <si>
    <t>https://huggingface.co/meta-llama/Meta-Llama-3-70B-Instruct</t>
  </si>
  <si>
    <t>Meta-Llama-Guard-2-8B</t>
  </si>
  <si>
    <t>https://huggingface.co/meta-llama/Meta-Llama-Guard-2-8B</t>
  </si>
  <si>
    <t>CodeLlama-34b-Instruct-hf</t>
  </si>
  <si>
    <t>https://huggingface.co/meta-llama/CodeLlama-34b-Instruct-hf</t>
  </si>
  <si>
    <t>CodeLlama-7b-Instruct-hf</t>
  </si>
  <si>
    <t>https://huggingface.co/meta-llama/CodeLlama-7b-Instruct-hf</t>
  </si>
  <si>
    <t>CodeLlama-13b-Instruct-hf</t>
  </si>
  <si>
    <t>https://huggingface.co/meta-llama/CodeLlama-13b-Instruct-hf</t>
  </si>
  <si>
    <t>CodeLlama-70b-Instruct-hf</t>
  </si>
  <si>
    <t>https://huggingface.co/meta-llama/CodeLlama-70b-Instruct-hf</t>
  </si>
  <si>
    <t>LlamaGuard-7b</t>
  </si>
  <si>
    <t>https://huggingface.co/meta-llama/LlamaGuard-7b</t>
  </si>
  <si>
    <t>Llama-2-70b-chat-hf</t>
  </si>
  <si>
    <t>https://huggingface.co/meta-llama/Llama-2-70b-chat-hf</t>
  </si>
  <si>
    <t>Llama-2-70b-chat</t>
  </si>
  <si>
    <t>https://huggingface.co/meta-llama/Llama-2-70b-chat</t>
  </si>
  <si>
    <t>Llama-2-7b-chat-hf</t>
  </si>
  <si>
    <t>https://huggingface.co/meta-llama/Llama-2-7b-chat-hf</t>
  </si>
  <si>
    <t>Llama-2-13b-chat-hf</t>
  </si>
  <si>
    <t>https://huggingface.co/meta-llama/Llama-2-13b-chat-hf</t>
  </si>
  <si>
    <t>Llama-2-7b-chat</t>
  </si>
  <si>
    <t>https://huggingface.co/meta-llama/Llama-2-7b-chat</t>
  </si>
  <si>
    <t>Llama-2-13b-chat</t>
  </si>
  <si>
    <t>https://huggingface.co/meta-llama/Llama-2-13b-chat</t>
  </si>
  <si>
    <t>gemma-3-270m-it-qat-q4_0-unquantized</t>
  </si>
  <si>
    <t>https://huggingface.co/google/gemma-3-270m-it-qat-q4_0-unquantized</t>
  </si>
  <si>
    <t>gemma-3-270m-it</t>
  </si>
  <si>
    <t>https://huggingface.co/google/gemma-3-270m-it</t>
  </si>
  <si>
    <t>medgemma-27b-it</t>
  </si>
  <si>
    <t>https://huggingface.co/google/medgemma-27b-it</t>
  </si>
  <si>
    <t>t5gemma-b-b-prefixlm-it</t>
  </si>
  <si>
    <t>https://huggingface.co/google/t5gemma-b-b-prefixlm-it</t>
  </si>
  <si>
    <t>t5gemma-2b-2b-prefixlm-it</t>
  </si>
  <si>
    <t>https://huggingface.co/google/t5gemma-2b-2b-prefixlm-it</t>
  </si>
  <si>
    <t>t5gemma-l-l-ul2-it</t>
  </si>
  <si>
    <t>https://huggingface.co/google/t5gemma-l-l-ul2-it</t>
  </si>
  <si>
    <t>t5gemma-2b-2b-ul2-it</t>
  </si>
  <si>
    <t>https://huggingface.co/google/t5gemma-2b-2b-ul2-it</t>
  </si>
  <si>
    <t>t5gemma-s-s-prefixlm-it</t>
  </si>
  <si>
    <t>https://huggingface.co/google/t5gemma-s-s-prefixlm-it</t>
  </si>
  <si>
    <t>t5gemma-xl-xl-prefixlm-it</t>
  </si>
  <si>
    <t>https://huggingface.co/google/t5gemma-xl-xl-prefixlm-it</t>
  </si>
  <si>
    <t>t5gemma-s-s-ul2-it</t>
  </si>
  <si>
    <t>https://huggingface.co/google/t5gemma-s-s-ul2-it</t>
  </si>
  <si>
    <t>t5gemma-ml-ml-ul2-it</t>
  </si>
  <si>
    <t>https://huggingface.co/google/t5gemma-ml-ml-ul2-it</t>
  </si>
  <si>
    <t>t5gemma-l-l-prefixlm-it</t>
  </si>
  <si>
    <t>https://huggingface.co/google/t5gemma-l-l-prefixlm-it</t>
  </si>
  <si>
    <t>t5gemma-9b-9b-ul2-it</t>
  </si>
  <si>
    <t>https://huggingface.co/google/t5gemma-9b-9b-ul2-it</t>
  </si>
  <si>
    <t>t5gemma-b-b-ul2-it</t>
  </si>
  <si>
    <t>https://huggingface.co/google/t5gemma-b-b-ul2-it</t>
  </si>
  <si>
    <t>t5gemma-xl-xl-ul2-it</t>
  </si>
  <si>
    <t>https://huggingface.co/google/t5gemma-xl-xl-ul2-it</t>
  </si>
  <si>
    <t>t5gemma-9b-2b-ul2-it</t>
  </si>
  <si>
    <t>https://huggingface.co/google/t5gemma-9b-2b-ul2-it</t>
  </si>
  <si>
    <t>t5gemma-9b-9b-prefixlm-it</t>
  </si>
  <si>
    <t>https://huggingface.co/google/t5gemma-9b-9b-prefixlm-it</t>
  </si>
  <si>
    <t>t5gemma-9b-2b-prefixlm-it</t>
  </si>
  <si>
    <t>https://huggingface.co/google/t5gemma-9b-2b-prefixlm-it</t>
  </si>
  <si>
    <t>t5gemma-ml-ml-prefixlm-it</t>
  </si>
  <si>
    <t>https://huggingface.co/google/t5gemma-ml-ml-prefixlm-it</t>
  </si>
  <si>
    <t>gemma-3n-E2B-it</t>
  </si>
  <si>
    <t>https://huggingface.co/google/gemma-3n-E2B-it</t>
  </si>
  <si>
    <t>gemma-3n-E4B-it</t>
  </si>
  <si>
    <t>https://huggingface.co/google/gemma-3n-E4B-it</t>
  </si>
  <si>
    <t>medgemma-4b-it</t>
  </si>
  <si>
    <t>https://huggingface.co/google/medgemma-4b-it</t>
  </si>
  <si>
    <t>medgemma-27b-text-it</t>
  </si>
  <si>
    <t>https://huggingface.co/google/medgemma-27b-text-it</t>
  </si>
  <si>
    <t>gemma-3-27b-it-qat-q4_0-unquantized</t>
  </si>
  <si>
    <t>https://huggingface.co/google/gemma-3-27b-it-qat-q4_0-unquantized</t>
  </si>
  <si>
    <t>gemma-3-12b-it-qat-int4-unquantized</t>
  </si>
  <si>
    <t>https://huggingface.co/google/gemma-3-12b-it-qat-int4-unquantized</t>
  </si>
  <si>
    <t>gemma-3-1b-it-qat-int4-unquantized</t>
  </si>
  <si>
    <t>https://huggingface.co/google/gemma-3-1b-it-qat-int4-unquantized</t>
  </si>
  <si>
    <t>gemma-3-4b-it-qat-int4-unquantized</t>
  </si>
  <si>
    <t>https://huggingface.co/google/gemma-3-4b-it-qat-int4-unquantized</t>
  </si>
  <si>
    <t>gemma-3-12b-it-qat-q4_0-unquantized</t>
  </si>
  <si>
    <t>https://huggingface.co/google/gemma-3-12b-it-qat-q4_0-unquantized</t>
  </si>
  <si>
    <t>gemma-3-4b-it-qat-q4_0-unquantized</t>
  </si>
  <si>
    <t>https://huggingface.co/google/gemma-3-4b-it-qat-q4_0-unquantized</t>
  </si>
  <si>
    <t>gemma-3-1b-it-qat-q4_0-unquantized</t>
  </si>
  <si>
    <t>https://huggingface.co/google/gemma-3-1b-it-qat-q4_0-unquantized</t>
  </si>
  <si>
    <t>txgemma-9b-chat</t>
  </si>
  <si>
    <t>https://huggingface.co/google/txgemma-9b-chat</t>
  </si>
  <si>
    <t>txgemma-27b-chat</t>
  </si>
  <si>
    <t>https://huggingface.co/google/txgemma-27b-chat</t>
  </si>
  <si>
    <t>gemma-3-27b-it-qat-q4_0-gguf</t>
  </si>
  <si>
    <t>https://huggingface.co/google/gemma-3-27b-it-qat-q4_0-gguf</t>
  </si>
  <si>
    <t>gemma-3-12b-it-qat-q4_0-gguf</t>
  </si>
  <si>
    <t>https://huggingface.co/google/gemma-3-12b-it-qat-q4_0-gguf</t>
  </si>
  <si>
    <t>gemma-3-4b-it-qat-q4_0-gguf</t>
  </si>
  <si>
    <t>https://huggingface.co/google/gemma-3-4b-it-qat-q4_0-gguf</t>
  </si>
  <si>
    <t>gemma-3-1b-it</t>
  </si>
  <si>
    <t>https://huggingface.co/google/gemma-3-1b-it</t>
  </si>
  <si>
    <t>gemma-3-1b-it-qat-q4_0-gguf</t>
  </si>
  <si>
    <t>https://huggingface.co/google/gemma-3-1b-it-qat-q4_0-gguf</t>
  </si>
  <si>
    <t>shieldgemma-2-4b-it</t>
  </si>
  <si>
    <t>https://huggingface.co/google/shieldgemma-2-4b-it</t>
  </si>
  <si>
    <t>gemma-3-27b-it</t>
  </si>
  <si>
    <t>https://huggingface.co/google/gemma-3-27b-it</t>
  </si>
  <si>
    <t>gemma-3-12b-it</t>
  </si>
  <si>
    <t>https://huggingface.co/google/gemma-3-12b-it</t>
  </si>
  <si>
    <t>gemma-3-4b-it</t>
  </si>
  <si>
    <t>https://huggingface.co/google/gemma-3-4b-it</t>
  </si>
  <si>
    <t>gemma-2-2b-jpn-it</t>
  </si>
  <si>
    <t>https://huggingface.co/google/gemma-2-2b-jpn-it</t>
  </si>
  <si>
    <t>gemma-7b-aps-it</t>
  </si>
  <si>
    <t>https://huggingface.co/google/gemma-7b-aps-it</t>
  </si>
  <si>
    <t>gemma-2b-aps-it</t>
  </si>
  <si>
    <t>https://huggingface.co/google/gemma-2b-aps-it</t>
  </si>
  <si>
    <t>datagemma-rig-27b-it</t>
  </si>
  <si>
    <t>https://huggingface.co/google/datagemma-rig-27b-it</t>
  </si>
  <si>
    <t>datagemma-rag-27b-it</t>
  </si>
  <si>
    <t>https://huggingface.co/google/datagemma-rag-27b-it</t>
  </si>
  <si>
    <t>gemma-2-2b-it-GGUF</t>
  </si>
  <si>
    <t>https://huggingface.co/google/gemma-2-2b-it-GGUF</t>
  </si>
  <si>
    <t>gemma-2-2b-it</t>
  </si>
  <si>
    <t>https://huggingface.co/google/gemma-2-2b-it</t>
  </si>
  <si>
    <t>shieldgemma-2b</t>
  </si>
  <si>
    <t>https://huggingface.co/google/shieldgemma-2b</t>
  </si>
  <si>
    <t>shieldgemma-9b</t>
  </si>
  <si>
    <t>https://huggingface.co/google/shieldgemma-9b</t>
  </si>
  <si>
    <t>shieldgemma-27b</t>
  </si>
  <si>
    <t>https://huggingface.co/google/shieldgemma-27b</t>
  </si>
  <si>
    <t>gemma-2-9b-it</t>
  </si>
  <si>
    <t>https://huggingface.co/google/gemma-2-9b-it</t>
  </si>
  <si>
    <t>gemma-2-27b-it</t>
  </si>
  <si>
    <t>https://huggingface.co/google/gemma-2-27b-it</t>
  </si>
  <si>
    <t>gemma-2-instruct-9b-keras</t>
  </si>
  <si>
    <t>https://huggingface.co/google/gemma-2-instruct-9b-keras</t>
  </si>
  <si>
    <t>recurrentgemma-9b-it</t>
  </si>
  <si>
    <t>https://huggingface.co/google/recurrentgemma-9b-it</t>
  </si>
  <si>
    <t>codegemma-1.1-7b-it</t>
  </si>
  <si>
    <t>https://huggingface.co/google/codegemma-1.1-7b-it</t>
  </si>
  <si>
    <t>recurrentgemma-2b-it</t>
  </si>
  <si>
    <t>https://huggingface.co/google/recurrentgemma-2b-it</t>
  </si>
  <si>
    <t>gemma-1.1-2b-it</t>
  </si>
  <si>
    <t>https://huggingface.co/google/gemma-1.1-2b-it</t>
  </si>
  <si>
    <t>gemma-1.1-7b-it</t>
  </si>
  <si>
    <t>https://huggingface.co/google/gemma-1.1-7b-it</t>
  </si>
  <si>
    <t>codegemma-7b-it</t>
  </si>
  <si>
    <t>https://huggingface.co/google/codegemma-7b-it</t>
  </si>
  <si>
    <t>gemma-7b-it</t>
  </si>
  <si>
    <t>https://huggingface.co/google/gemma-7b-it</t>
  </si>
  <si>
    <t>gemma-2b-it</t>
  </si>
  <si>
    <t>https://huggingface.co/google/gemma-2b-it</t>
  </si>
  <si>
    <t>MediPhi-Instruct</t>
  </si>
  <si>
    <t>https://huggingface.co/microsoft/MediPhi-Instruct</t>
  </si>
  <si>
    <t>Phi-tiny-MoE-instruct</t>
  </si>
  <si>
    <t>https://huggingface.co/microsoft/Phi-tiny-MoE-instruct</t>
  </si>
  <si>
    <t>Phi-mini-MoE-instruct</t>
  </si>
  <si>
    <t>https://huggingface.co/microsoft/Phi-mini-MoE-instruct</t>
  </si>
  <si>
    <t>Phi-4-mini-flash-reasoning</t>
  </si>
  <si>
    <t>https://huggingface.co/microsoft/Phi-4-mini-flash-reasoning</t>
  </si>
  <si>
    <t>GUI-Actor-Verifier-2B</t>
  </si>
  <si>
    <t>https://huggingface.co/microsoft/GUI-Actor-Verifier-2B</t>
  </si>
  <si>
    <t>GUI-Actor-7B-Qwen2-VL</t>
  </si>
  <si>
    <t>https://huggingface.co/microsoft/GUI-Actor-7B-Qwen2-VL</t>
  </si>
  <si>
    <t>GUI-Actor-7B-Qwen2.5-VL</t>
  </si>
  <si>
    <t>https://huggingface.co/microsoft/GUI-Actor-7B-Qwen2.5-VL</t>
  </si>
  <si>
    <t>GUI-Actor-3B-Qwen2.5-VL</t>
  </si>
  <si>
    <t>https://huggingface.co/microsoft/GUI-Actor-3B-Qwen2.5-VL</t>
  </si>
  <si>
    <t>GUI-Actor-2B-Qwen2-VL</t>
  </si>
  <si>
    <t>https://huggingface.co/microsoft/GUI-Actor-2B-Qwen2-VL</t>
  </si>
  <si>
    <t>MediPhi-MedWiki</t>
  </si>
  <si>
    <t>https://huggingface.co/microsoft/MediPhi-MedWiki</t>
  </si>
  <si>
    <t>MediPhi-Guidelines</t>
  </si>
  <si>
    <t>https://huggingface.co/microsoft/MediPhi-Guidelines</t>
  </si>
  <si>
    <t>MediPhi-Clinical</t>
  </si>
  <si>
    <t>https://huggingface.co/microsoft/MediPhi-Clinical</t>
  </si>
  <si>
    <t>MediPhi-MedCode</t>
  </si>
  <si>
    <t>https://huggingface.co/microsoft/MediPhi-MedCode</t>
  </si>
  <si>
    <t>MediPhi-PubMed</t>
  </si>
  <si>
    <t>https://huggingface.co/microsoft/MediPhi-PubMed</t>
  </si>
  <si>
    <t>NextCoder-7B</t>
  </si>
  <si>
    <t>https://huggingface.co/microsoft/NextCoder-7B</t>
  </si>
  <si>
    <t>NextCoder-32B</t>
  </si>
  <si>
    <t>https://huggingface.co/microsoft/NextCoder-32B</t>
  </si>
  <si>
    <t>NextCoder-14B</t>
  </si>
  <si>
    <t>https://huggingface.co/microsoft/NextCoder-14B</t>
  </si>
  <si>
    <t>Phi-4-mini-reasoning</t>
  </si>
  <si>
    <t>https://huggingface.co/microsoft/Phi-4-mini-reasoning</t>
  </si>
  <si>
    <t>Phi-4-reasoning-plus</t>
  </si>
  <si>
    <t>https://huggingface.co/microsoft/Phi-4-reasoning-plus</t>
  </si>
  <si>
    <t>MAI-DS-R1-FP8</t>
  </si>
  <si>
    <t>https://huggingface.co/microsoft/MAI-DS-R1-FP8</t>
  </si>
  <si>
    <t>MAI-DS-R1</t>
  </si>
  <si>
    <t>https://huggingface.co/microsoft/MAI-DS-R1</t>
  </si>
  <si>
    <t>bitnet-b1.58-2B-4T</t>
  </si>
  <si>
    <t>https://huggingface.co/microsoft/bitnet-b1.58-2B-4T</t>
  </si>
  <si>
    <t>bitnet-b1.58-2B-4T-gguf</t>
  </si>
  <si>
    <t>https://huggingface.co/microsoft/bitnet-b1.58-2B-4T-gguf</t>
  </si>
  <si>
    <t>bitnet-b1.58-2B-4T-bf16</t>
  </si>
  <si>
    <t>https://huggingface.co/microsoft/bitnet-b1.58-2B-4T-bf16</t>
  </si>
  <si>
    <t>Phi-4-reasoning</t>
  </si>
  <si>
    <t>https://huggingface.co/microsoft/Phi-4-reasoning</t>
  </si>
  <si>
    <t>Phi-4-mini-instruct-onnx</t>
  </si>
  <si>
    <t>https://huggingface.co/microsoft/Phi-4-mini-instruct-onnx</t>
  </si>
  <si>
    <t>Phi-4-multimodal-instruct-onnx</t>
  </si>
  <si>
    <t>https://huggingface.co/microsoft/Phi-4-multimodal-instruct-onnx</t>
  </si>
  <si>
    <t>Phi-4-multimodal-instruct</t>
  </si>
  <si>
    <t>https://huggingface.co/microsoft/Phi-4-multimodal-instruct</t>
  </si>
  <si>
    <t>Magma-8B</t>
  </si>
  <si>
    <t>https://huggingface.co/microsoft/Magma-8B</t>
  </si>
  <si>
    <t>Phi-4-mini-instruct</t>
  </si>
  <si>
    <t>https://huggingface.co/microsoft/Phi-4-mini-instruct</t>
  </si>
  <si>
    <t>MediPhi</t>
  </si>
  <si>
    <t>https://huggingface.co/microsoft/MediPhi</t>
  </si>
  <si>
    <t>phi-4-gguf</t>
  </si>
  <si>
    <t>https://huggingface.co/microsoft/phi-4-gguf</t>
  </si>
  <si>
    <t>phi-4</t>
  </si>
  <si>
    <t>https://huggingface.co/microsoft/phi-4</t>
  </si>
  <si>
    <t>LLM2CLIP-Llama-3.2-1B-Instruct-CC-Finetuned</t>
  </si>
  <si>
    <t>https://huggingface.co/microsoft/LLM2CLIP-Llama-3.2-1B-Instruct-CC-Finetuned</t>
  </si>
  <si>
    <t>LLM2CLIP-Llama-3-8B-Instruct-CC-Finetuned</t>
  </si>
  <si>
    <t>https://huggingface.co/microsoft/LLM2CLIP-Llama-3-8B-Instruct-CC-Finetuned</t>
  </si>
  <si>
    <t>Phi-3.5-vision-instruct-onnx</t>
  </si>
  <si>
    <t>https://huggingface.co/microsoft/Phi-3.5-vision-instruct-onnx</t>
  </si>
  <si>
    <t>Phi-3-vision-128k-instruct-onnx</t>
  </si>
  <si>
    <t>https://huggingface.co/microsoft/Phi-3-vision-128k-instruct-onnx</t>
  </si>
  <si>
    <t>Phi-3.5-mini-instruct-onnx</t>
  </si>
  <si>
    <t>https://huggingface.co/microsoft/Phi-3.5-mini-instruct-onnx</t>
  </si>
  <si>
    <t>GRIN-MoE</t>
  </si>
  <si>
    <t>https://huggingface.co/microsoft/GRIN-MoE</t>
  </si>
  <si>
    <t>kosmos-2.5-chat</t>
  </si>
  <si>
    <t>https://huggingface.co/microsoft/kosmos-2.5-chat</t>
  </si>
  <si>
    <t>Phi-3.5-MoE-instruct</t>
  </si>
  <si>
    <t>https://huggingface.co/microsoft/Phi-3.5-MoE-instruct</t>
  </si>
  <si>
    <t>Phi-3.5-vision-instruct</t>
  </si>
  <si>
    <t>https://huggingface.co/microsoft/Phi-3.5-vision-instruct</t>
  </si>
  <si>
    <t>Phi-3.5-mini-instruct</t>
  </si>
  <si>
    <t>https://huggingface.co/microsoft/Phi-3.5-mini-instruct</t>
  </si>
  <si>
    <t>maira-2</t>
  </si>
  <si>
    <t>https://huggingface.co/microsoft/maira-2</t>
  </si>
  <si>
    <t>mistral-7b-instruct-v0.2-ONNX</t>
  </si>
  <si>
    <t>https://huggingface.co/microsoft/mistral-7b-instruct-v0.2-ONNX</t>
  </si>
  <si>
    <t>Phi-3-vision-128k-instruct</t>
  </si>
  <si>
    <t>https://huggingface.co/microsoft/Phi-3-vision-128k-instruct</t>
  </si>
  <si>
    <t>Phi-3-medium-128k-instruct-onnx-cpu</t>
  </si>
  <si>
    <t>https://huggingface.co/microsoft/Phi-3-medium-128k-instruct-onnx-cpu</t>
  </si>
  <si>
    <t>Phi-3-vision-128k-instruct-onnx-cpu</t>
  </si>
  <si>
    <t>https://huggingface.co/microsoft/Phi-3-vision-128k-instruct-onnx-cpu</t>
  </si>
  <si>
    <t>Phi-3-medium-4k-instruct-onnx-cpu</t>
  </si>
  <si>
    <t>https://huggingface.co/microsoft/Phi-3-medium-4k-instruct-onnx-cpu</t>
  </si>
  <si>
    <t>Phi-3-small-8k-instruct-onnx-cuda</t>
  </si>
  <si>
    <t>https://huggingface.co/microsoft/Phi-3-small-8k-instruct-onnx-cuda</t>
  </si>
  <si>
    <t>Phi-3-medium-4k-instruct-onnx-cuda</t>
  </si>
  <si>
    <t>https://huggingface.co/microsoft/Phi-3-medium-4k-instruct-onnx-cuda</t>
  </si>
  <si>
    <t>Phi-3-medium-4k-instruct-onnx-directml</t>
  </si>
  <si>
    <t>https://huggingface.co/microsoft/Phi-3-medium-4k-instruct-onnx-directml</t>
  </si>
  <si>
    <t>Phi-3-medium-128k-instruct-onnx-directml</t>
  </si>
  <si>
    <t>https://huggingface.co/microsoft/Phi-3-medium-128k-instruct-onnx-directml</t>
  </si>
  <si>
    <t>Phi-3-vision-128k-instruct-onnx-cuda</t>
  </si>
  <si>
    <t>https://huggingface.co/microsoft/Phi-3-vision-128k-instruct-onnx-cuda</t>
  </si>
  <si>
    <t>Phi-3-vision-128k-instruct-onnx-directml</t>
  </si>
  <si>
    <t>https://huggingface.co/microsoft/Phi-3-vision-128k-instruct-onnx-directml</t>
  </si>
  <si>
    <t>Phi-3-medium-128k-instruct-onnx-cuda</t>
  </si>
  <si>
    <t>https://huggingface.co/microsoft/Phi-3-medium-128k-instruct-onnx-cuda</t>
  </si>
  <si>
    <t>Phi-3-mini-4k-instruct-onnx-web</t>
  </si>
  <si>
    <t>https://huggingface.co/microsoft/Phi-3-mini-4k-instruct-onnx-web</t>
  </si>
  <si>
    <t>llava-med-v1.5-mistral-7b</t>
  </si>
  <si>
    <t>https://huggingface.co/microsoft/llava-med-v1.5-mistral-7b</t>
  </si>
  <si>
    <t>Phi-3-medium-4k-instruct</t>
  </si>
  <si>
    <t>https://huggingface.co/microsoft/Phi-3-medium-4k-instruct</t>
  </si>
  <si>
    <t>Phi-3-medium-128k-instruct</t>
  </si>
  <si>
    <t>https://huggingface.co/microsoft/Phi-3-medium-128k-instruct</t>
  </si>
  <si>
    <t>Phi-3-small-8k-instruct</t>
  </si>
  <si>
    <t>https://huggingface.co/microsoft/Phi-3-small-8k-instruct</t>
  </si>
  <si>
    <t>Phi-3-small-128k-instruct</t>
  </si>
  <si>
    <t>https://huggingface.co/microsoft/Phi-3-small-128k-instruct</t>
  </si>
  <si>
    <t>Phi-3-mini-4k-instruct-onnx</t>
  </si>
  <si>
    <t>https://huggingface.co/microsoft/Phi-3-mini-4k-instruct-onnx</t>
  </si>
  <si>
    <t>Phi-3-mini-128k-instruct-onnx</t>
  </si>
  <si>
    <t>https://huggingface.co/microsoft/Phi-3-mini-128k-instruct-onnx</t>
  </si>
  <si>
    <t>Phi-3-mini-128k-instruct</t>
  </si>
  <si>
    <t>https://huggingface.co/microsoft/Phi-3-mini-128k-instruct</t>
  </si>
  <si>
    <t>Phi-3-mini-4k-instruct</t>
  </si>
  <si>
    <t>https://huggingface.co/microsoft/Phi-3-mini-4k-instruct</t>
  </si>
  <si>
    <t>Phi-3-mini-4k-instruct-gguf</t>
  </si>
  <si>
    <t>https://huggingface.co/microsoft/Phi-3-mini-4k-instruct-gguf</t>
  </si>
  <si>
    <t>wavecoder-ultra-6.7b</t>
  </si>
  <si>
    <t>https://huggingface.co/microsoft/wavecoder-ultra-6.7b</t>
  </si>
  <si>
    <t>GODEL-v1_1-large-seq2seq</t>
  </si>
  <si>
    <t>https://huggingface.co/microsoft/GODEL-v1_1-large-seq2seq</t>
  </si>
  <si>
    <t>GODEL-v1_1-base-seq2seq</t>
  </si>
  <si>
    <t>https://huggingface.co/microsoft/GODEL-v1_1-base-seq2seq</t>
  </si>
  <si>
    <t>DialoGPT-medium</t>
  </si>
  <si>
    <t>https://huggingface.co/microsoft/DialoGPT-medium</t>
  </si>
  <si>
    <t>DialoGPT-large</t>
  </si>
  <si>
    <t>https://huggingface.co/microsoft/DialoGPT-large</t>
  </si>
  <si>
    <t>DialoGPT-small</t>
  </si>
  <si>
    <t>https://huggingface.co/microsoft/DialoGPT-small</t>
  </si>
  <si>
    <t>Falcon-H1-34B-Instruct-GGUF</t>
  </si>
  <si>
    <t>https://huggingface.co/tiiuae/Falcon-H1-34B-Instruct-GGUF</t>
  </si>
  <si>
    <t>Falcon-H1-7B-Instruct-GGUF</t>
  </si>
  <si>
    <t>https://huggingface.co/tiiuae/Falcon-H1-7B-Instruct-GGUF</t>
  </si>
  <si>
    <t>Falcon-H1-0.5B-Instruct-GGUF</t>
  </si>
  <si>
    <t>https://huggingface.co/tiiuae/Falcon-H1-0.5B-Instruct-GGUF</t>
  </si>
  <si>
    <t>Falcon-H1-1.5B-Deep-Instruct-GGUF</t>
  </si>
  <si>
    <t>https://huggingface.co/tiiuae/Falcon-H1-1.5B-Deep-Instruct-GGUF</t>
  </si>
  <si>
    <t>Falcon-H1-1.5B-Instruct-GGUF</t>
  </si>
  <si>
    <t>https://huggingface.co/tiiuae/Falcon-H1-1.5B-Instruct-GGUF</t>
  </si>
  <si>
    <t>Falcon-H1-3B-Instruct-GGUF</t>
  </si>
  <si>
    <t>https://huggingface.co/tiiuae/Falcon-H1-3B-Instruct-GGUF</t>
  </si>
  <si>
    <t>Falcon-H1-34B-Instruct-GPTQ-Int4</t>
  </si>
  <si>
    <t>https://huggingface.co/tiiuae/Falcon-H1-34B-Instruct-GPTQ-Int4</t>
  </si>
  <si>
    <t>Falcon-H1-7B-Instruct-GPTQ-Int4</t>
  </si>
  <si>
    <t>https://huggingface.co/tiiuae/Falcon-H1-7B-Instruct-GPTQ-Int4</t>
  </si>
  <si>
    <t>Falcon-H1-34B-Instruct-GPTQ-Int8</t>
  </si>
  <si>
    <t>https://huggingface.co/tiiuae/Falcon-H1-34B-Instruct-GPTQ-Int8</t>
  </si>
  <si>
    <t>Falcon-H1-1.5B-Instruct-GPTQ-Int8</t>
  </si>
  <si>
    <t>https://huggingface.co/tiiuae/Falcon-H1-1.5B-Instruct-GPTQ-Int8</t>
  </si>
  <si>
    <t>Falcon-H1-7B-Instruct-GPTQ-Int8</t>
  </si>
  <si>
    <t>https://huggingface.co/tiiuae/Falcon-H1-7B-Instruct-GPTQ-Int8</t>
  </si>
  <si>
    <t>Falcon-H1-1.5B-Deep-Instruct-GPTQ-Int4</t>
  </si>
  <si>
    <t>https://huggingface.co/tiiuae/Falcon-H1-1.5B-Deep-Instruct-GPTQ-Int4</t>
  </si>
  <si>
    <t>Falcon-H1-1.5B-Deep-Instruct-GPTQ-Int8</t>
  </si>
  <si>
    <t>https://huggingface.co/tiiuae/Falcon-H1-1.5B-Deep-Instruct-GPTQ-Int8</t>
  </si>
  <si>
    <t>Falcon-H1-1.5B-Instruct-GPTQ-Int4</t>
  </si>
  <si>
    <t>https://huggingface.co/tiiuae/Falcon-H1-1.5B-Instruct-GPTQ-Int4</t>
  </si>
  <si>
    <t>Falcon-H1-0.5B-Instruct-GPTQ-Int8</t>
  </si>
  <si>
    <t>https://huggingface.co/tiiuae/Falcon-H1-0.5B-Instruct-GPTQ-Int8</t>
  </si>
  <si>
    <t>Falcon-H1-0.5B-Instruct-GPTQ-Int4</t>
  </si>
  <si>
    <t>https://huggingface.co/tiiuae/Falcon-H1-0.5B-Instruct-GPTQ-Int4</t>
  </si>
  <si>
    <t>Falcon-H1-3B-Instruct-GPTQ-Int4</t>
  </si>
  <si>
    <t>https://huggingface.co/tiiuae/Falcon-H1-3B-Instruct-GPTQ-Int4</t>
  </si>
  <si>
    <t>Falcon-H1-3B-Instruct-GPTQ-Int8</t>
  </si>
  <si>
    <t>https://huggingface.co/tiiuae/Falcon-H1-3B-Instruct-GPTQ-Int8</t>
  </si>
  <si>
    <t>Falcon-H1-34B-Instruct</t>
  </si>
  <si>
    <t>https://huggingface.co/tiiuae/Falcon-H1-34B-Instruct</t>
  </si>
  <si>
    <t>Falcon-H1-1.5B-Instruct</t>
  </si>
  <si>
    <t>https://huggingface.co/tiiuae/Falcon-H1-1.5B-Instruct</t>
  </si>
  <si>
    <t>Falcon-H1-7B-Instruct</t>
  </si>
  <si>
    <t>https://huggingface.co/tiiuae/Falcon-H1-7B-Instruct</t>
  </si>
  <si>
    <t>Falcon-H1-0.5B-Instruct</t>
  </si>
  <si>
    <t>https://huggingface.co/tiiuae/Falcon-H1-0.5B-Instruct</t>
  </si>
  <si>
    <t>Falcon-H1-3B-Instruct</t>
  </si>
  <si>
    <t>https://huggingface.co/tiiuae/Falcon-H1-3B-Instruct</t>
  </si>
  <si>
    <t>Falcon-H1-1.5B-Deep-Instruct</t>
  </si>
  <si>
    <t>https://huggingface.co/tiiuae/Falcon-H1-1.5B-Deep-Instruct</t>
  </si>
  <si>
    <t>Falcon-E-3B-Instruct</t>
  </si>
  <si>
    <t>https://huggingface.co/tiiuae/Falcon-E-3B-Instruct</t>
  </si>
  <si>
    <t>Falcon-E-1B-Instruct</t>
  </si>
  <si>
    <t>https://huggingface.co/tiiuae/Falcon-E-1B-Instruct</t>
  </si>
  <si>
    <t>Falcon-E-3B-Instruct-GGUF</t>
  </si>
  <si>
    <t>https://huggingface.co/tiiuae/Falcon-E-3B-Instruct-GGUF</t>
  </si>
  <si>
    <t>Falcon-E-1B-Instruct-GGUF</t>
  </si>
  <si>
    <t>https://huggingface.co/tiiuae/Falcon-E-1B-Instruct-GGUF</t>
  </si>
  <si>
    <t>Falcon3-7B-Instruct-1.58bit-GGUF</t>
  </si>
  <si>
    <t>https://huggingface.co/tiiuae/Falcon3-7B-Instruct-1.58bit-GGUF</t>
  </si>
  <si>
    <t>Falcon3-1B-Instruct-1.58bit-GGUF</t>
  </si>
  <si>
    <t>https://huggingface.co/tiiuae/Falcon3-1B-Instruct-1.58bit-GGUF</t>
  </si>
  <si>
    <t>Falcon3-10B-Instruct-1.58bit-GGUF</t>
  </si>
  <si>
    <t>https://huggingface.co/tiiuae/Falcon3-10B-Instruct-1.58bit-GGUF</t>
  </si>
  <si>
    <t>Falcon3-3B-Instruct-1.58bit-GGUF</t>
  </si>
  <si>
    <t>https://huggingface.co/tiiuae/Falcon3-3B-Instruct-1.58bit-GGUF</t>
  </si>
  <si>
    <t>Falcon3-10B-Instruct-1.58bit</t>
  </si>
  <si>
    <t>https://huggingface.co/tiiuae/Falcon3-10B-Instruct-1.58bit</t>
  </si>
  <si>
    <t>Falcon3-Mamba-7B-Instruct-GGUF</t>
  </si>
  <si>
    <t>https://huggingface.co/tiiuae/Falcon3-Mamba-7B-Instruct-GGUF</t>
  </si>
  <si>
    <t>Falcon3-1B-Instruct-1.58bit</t>
  </si>
  <si>
    <t>https://huggingface.co/tiiuae/Falcon3-1B-Instruct-1.58bit</t>
  </si>
  <si>
    <t>Falcon3-1B-Instruct</t>
  </si>
  <si>
    <t>https://huggingface.co/tiiuae/Falcon3-1B-Instruct</t>
  </si>
  <si>
    <t>Falcon3-10B-Instruct</t>
  </si>
  <si>
    <t>https://huggingface.co/tiiuae/Falcon3-10B-Instruct</t>
  </si>
  <si>
    <t>Falcon3-3B-Instruct</t>
  </si>
  <si>
    <t>https://huggingface.co/tiiuae/Falcon3-3B-Instruct</t>
  </si>
  <si>
    <t>Falcon3-1B-Instruct-GGUF</t>
  </si>
  <si>
    <t>https://huggingface.co/tiiuae/Falcon3-1B-Instruct-GGUF</t>
  </si>
  <si>
    <t>Falcon3-3B-Instruct-GGUF</t>
  </si>
  <si>
    <t>https://huggingface.co/tiiuae/Falcon3-3B-Instruct-GGUF</t>
  </si>
  <si>
    <t>Falcon3-7B-Instruct-GGUF</t>
  </si>
  <si>
    <t>https://huggingface.co/tiiuae/Falcon3-7B-Instruct-GGUF</t>
  </si>
  <si>
    <t>Falcon3-10B-Instruct-GGUF</t>
  </si>
  <si>
    <t>https://huggingface.co/tiiuae/Falcon3-10B-Instruct-GGUF</t>
  </si>
  <si>
    <t>Falcon3-7B-Instruct-GPTQ-Int4</t>
  </si>
  <si>
    <t>https://huggingface.co/tiiuae/Falcon3-7B-Instruct-GPTQ-Int4</t>
  </si>
  <si>
    <t>Falcon3-10B-Instruct-GPTQ-Int4</t>
  </si>
  <si>
    <t>https://huggingface.co/tiiuae/Falcon3-10B-Instruct-GPTQ-Int4</t>
  </si>
  <si>
    <t>Falcon3-7B-Instruct-AWQ</t>
  </si>
  <si>
    <t>https://huggingface.co/tiiuae/Falcon3-7B-Instruct-AWQ</t>
  </si>
  <si>
    <t>Falcon3-1B-Instruct-GPTQ-Int4</t>
  </si>
  <si>
    <t>https://huggingface.co/tiiuae/Falcon3-1B-Instruct-GPTQ-Int4</t>
  </si>
  <si>
    <t>Falcon3-3B-Instruct-GPTQ-Int4</t>
  </si>
  <si>
    <t>https://huggingface.co/tiiuae/Falcon3-3B-Instruct-GPTQ-Int4</t>
  </si>
  <si>
    <t>Falcon3-1B-Instruct-AWQ</t>
  </si>
  <si>
    <t>https://huggingface.co/tiiuae/Falcon3-1B-Instruct-AWQ</t>
  </si>
  <si>
    <t>Falcon3-10B-Instruct-GPTQ-Int8</t>
  </si>
  <si>
    <t>https://huggingface.co/tiiuae/Falcon3-10B-Instruct-GPTQ-Int8</t>
  </si>
  <si>
    <t>Falcon3-1B-Instruct-GPTQ-Int8</t>
  </si>
  <si>
    <t>https://huggingface.co/tiiuae/Falcon3-1B-Instruct-GPTQ-Int8</t>
  </si>
  <si>
    <t>Falcon3-10B-Instruct-AWQ</t>
  </si>
  <si>
    <t>https://huggingface.co/tiiuae/Falcon3-10B-Instruct-AWQ</t>
  </si>
  <si>
    <t>Falcon3-3B-Instruct-GPTQ-Int8</t>
  </si>
  <si>
    <t>https://huggingface.co/tiiuae/Falcon3-3B-Instruct-GPTQ-Int8</t>
  </si>
  <si>
    <t>Falcon3-3B-Instruct-AWQ</t>
  </si>
  <si>
    <t>https://huggingface.co/tiiuae/Falcon3-3B-Instruct-AWQ</t>
  </si>
  <si>
    <t>Falcon3-7B-Instruct-GPTQ-Int8</t>
  </si>
  <si>
    <t>https://huggingface.co/tiiuae/Falcon3-7B-Instruct-GPTQ-Int8</t>
  </si>
  <si>
    <t>Falcon3-Mamba-7B-Instruct</t>
  </si>
  <si>
    <t>https://huggingface.co/tiiuae/Falcon3-Mamba-7B-Instruct</t>
  </si>
  <si>
    <t>Falcon3-7B-Instruct</t>
  </si>
  <si>
    <t>https://huggingface.co/tiiuae/Falcon3-7B-Instruct</t>
  </si>
  <si>
    <t>Falcon3-7B-Instruct-1.58bit</t>
  </si>
  <si>
    <t>https://huggingface.co/tiiuae/Falcon3-7B-Instruct-1.58bit</t>
  </si>
  <si>
    <t>Falcon3-3B-Instruct-1.58bit</t>
  </si>
  <si>
    <t>https://huggingface.co/tiiuae/Falcon3-3B-Instruct-1.58bit</t>
  </si>
  <si>
    <t>falcon-mamba-tiny-dev</t>
  </si>
  <si>
    <t>https://huggingface.co/tiiuae/falcon-mamba-tiny-dev</t>
  </si>
  <si>
    <t>falcon-mamba-7b-instruct-Q4_K_M-GGUF</t>
  </si>
  <si>
    <t>https://huggingface.co/tiiuae/falcon-mamba-7b-instruct-Q4_K_M-GGUF</t>
  </si>
  <si>
    <t>falcon-mamba-7b-instruct-F16-GGUF</t>
  </si>
  <si>
    <t>https://huggingface.co/tiiuae/falcon-mamba-7b-instruct-F16-GGUF</t>
  </si>
  <si>
    <t>falcon-mamba-7b-instruct-BF16-GGUF</t>
  </si>
  <si>
    <t>https://huggingface.co/tiiuae/falcon-mamba-7b-instruct-BF16-GGUF</t>
  </si>
  <si>
    <t>falcon-mamba-7b-instruct-Q8_0-GGUF</t>
  </si>
  <si>
    <t>https://huggingface.co/tiiuae/falcon-mamba-7b-instruct-Q8_0-GGUF</t>
  </si>
  <si>
    <t>falcon-mamba-7b-instruct-4bit</t>
  </si>
  <si>
    <t>https://huggingface.co/tiiuae/falcon-mamba-7b-instruct-4bit</t>
  </si>
  <si>
    <t>falcon-mamba-7b-instruct</t>
  </si>
  <si>
    <t>https://huggingface.co/tiiuae/falcon-mamba-7b-instruct</t>
  </si>
  <si>
    <t>falcon-11B</t>
  </si>
  <si>
    <t>https://huggingface.co/tiiuae/falcon-11B</t>
  </si>
  <si>
    <t>falcon-180B-chat</t>
  </si>
  <si>
    <t>https://huggingface.co/tiiuae/falcon-180B-chat</t>
  </si>
  <si>
    <t>falcon-40b-instruct</t>
  </si>
  <si>
    <t>https://huggingface.co/tiiuae/falcon-40b-instruct</t>
  </si>
  <si>
    <t>falcon-7b-instruct</t>
  </si>
  <si>
    <t>skip</t>
  </si>
  <si>
    <t>x</t>
  </si>
  <si>
    <t>huggingface/Qwen/Qwen3-4B-Instruct-2507</t>
  </si>
  <si>
    <t>huggingface/Qwen/Qwen3-Coder-30B-A3B-Instruct</t>
  </si>
  <si>
    <t>huggingface/Qwen/Qwen3-Coder-480B-A35B-Instruct-FP8</t>
  </si>
  <si>
    <t>huggingface/Qwen/Qwen3-Coder-480B-A35B-Instruct</t>
  </si>
  <si>
    <t>huggingface/Qwen/Qwen3-235B-A22B-Instruct-2507</t>
  </si>
  <si>
    <t>huggingface/Qwen/Qwen3-235B-A22B-FP8</t>
  </si>
  <si>
    <t>huggingface/Qwen/Qwen3-32B-FP8</t>
  </si>
  <si>
    <t>huggingface/Qwen/Qwen3-8B</t>
  </si>
  <si>
    <t>huggingface/Qwen/Qwen3-4B</t>
  </si>
  <si>
    <t>huggingface/Qwen/Qwen3-30B-A3B</t>
  </si>
  <si>
    <t>huggingface/Qwen/Qwen3-32B</t>
  </si>
  <si>
    <t>huggingface/Qwen/Qwen3-14B</t>
  </si>
  <si>
    <t>huggingface/Qwen/Qwen3-235B-A22B</t>
  </si>
  <si>
    <t>huggingface/Qwen/QwQ-32B</t>
  </si>
  <si>
    <t>huggingface/deepseek-ai/DeepSeek-R1-0528-Qwen3-8B</t>
  </si>
  <si>
    <t>huggingface/deepseek-ai/DeepSeek-R1-0528</t>
  </si>
  <si>
    <t>huggingface/deepseek-ai/DeepSeek-Prover-V2-671B</t>
  </si>
  <si>
    <t>huggingface/deepseek-ai/DeepSeek-V3-0324</t>
  </si>
  <si>
    <t>huggingface/deepseek-ai/DeepSeek-R1-Distill-Qwen-32B</t>
  </si>
  <si>
    <t>huggingface/deepseek-ai/DeepSeek-R1-Distill-Llama-8B</t>
  </si>
  <si>
    <t>huggingface/deepseek-ai/DeepSeek-R1</t>
  </si>
  <si>
    <t>huggingface/deepseek-ai/DeepSeek-R1-Distill-Qwen-1.5B</t>
  </si>
  <si>
    <t>huggingface/deepseek-ai/DeepSeek-R1-Distill-Qwen-14B</t>
  </si>
  <si>
    <t>huggingface/deepseek-ai/DeepSeek-V3</t>
  </si>
  <si>
    <t>huggingface/zai-org/GLM-4.5V</t>
  </si>
  <si>
    <t>huggingface/zai-org/GLM-4.5-Air-FP8</t>
  </si>
  <si>
    <t>huggingface/zai-org/GLM-4.1V-9B-Thinking</t>
  </si>
  <si>
    <t>huggingface/zai-org/GLM-4-32B-0414</t>
  </si>
  <si>
    <t>huggingface/meta-llama/Llama-4-Scout-17B-16E-Instruct</t>
  </si>
  <si>
    <t>huggingface/meta-llama/Llama-4-Maverick-17B-128E-Instruct-FP8</t>
  </si>
  <si>
    <t>huggingface/meta-llama/Llama-4-Maverick-17B-128E-Instruct</t>
  </si>
  <si>
    <t>huggingface/meta-llama/Llama-3.3-70B-Instruct</t>
  </si>
  <si>
    <t>huggingface/meta-llama/Llama-3.2-1B-Instruct</t>
  </si>
  <si>
    <t>huggingface/meta-llama/Llama-3.2-3B-Instruct</t>
  </si>
  <si>
    <t>huggingface/meta-llama/Llama-3.1-70B-Instruct</t>
  </si>
  <si>
    <t>huggingface/meta-llama/Llama-3.1-405B-Instruct</t>
  </si>
  <si>
    <t>huggingface/meta-llama/Meta-Llama-3-8B-Instruct</t>
  </si>
  <si>
    <t>huggingface/meta-llama/Meta-Llama-3-70B-Instruct</t>
  </si>
  <si>
    <t>huggingface/google/gemma-3-27b-it</t>
  </si>
  <si>
    <t>huggingface/google/gemma-2-2b-it</t>
  </si>
  <si>
    <t>huggingface/google/gemma-2-9b-it</t>
  </si>
  <si>
    <t>huggingface/microsoft/phi-4</t>
  </si>
  <si>
    <t>huggingface/Qwen/Qwen2.5-Coder-32B-Instruct</t>
  </si>
  <si>
    <t>huggingface/Qwen/Qwen2.5-Coder-7B-Instruct</t>
  </si>
  <si>
    <t>huggingface/Qwen/Qwen2.5-Coder-3B-Instruct</t>
  </si>
  <si>
    <t>huggingface/Qwen/Qwen2.5-72B-Instruct</t>
  </si>
  <si>
    <t>HuggingFaceTB</t>
  </si>
  <si>
    <t>SmolLM3-3B</t>
  </si>
  <si>
    <t>https://huggingface.co/HuggingFaceTB/SmolLM3-3B</t>
  </si>
  <si>
    <t>huggingface/HuggingFaceTB/SmolLM3-3B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</si>
</sst>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0" formatCode="_ * #,##0_ ;_ * \-#,##0_ ;_ * &quot;-&quot;??_ ;_ @_ "/>
    <numFmt numFmtId="178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70" fontId="0" fillId="0" borderId="0" xfId="1" applyNumberFormat="1" applyFont="1"/>
    <xf numFmtId="0" fontId="18" fillId="0" borderId="0" xfId="43"/>
    <xf numFmtId="178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llama.com/library/meditron:7b" TargetMode="External"/><Relationship Id="rId18" Type="http://schemas.openxmlformats.org/officeDocument/2006/relationships/hyperlink" Target="https://build.nvidia.com/qwen/qwen3-235b-a22b" TargetMode="External"/><Relationship Id="rId26" Type="http://schemas.openxmlformats.org/officeDocument/2006/relationships/hyperlink" Target="https://huggingface.co/" TargetMode="External"/><Relationship Id="rId39" Type="http://schemas.openxmlformats.org/officeDocument/2006/relationships/hyperlink" Target="https://huggingface.co/meta-llama/Llama-3.3-70B-Instruct" TargetMode="External"/><Relationship Id="rId21" Type="http://schemas.openxmlformats.org/officeDocument/2006/relationships/hyperlink" Target="https://build.nvidia.com/mistralai/mixtral-8x7b-instruct" TargetMode="External"/><Relationship Id="rId34" Type="http://schemas.openxmlformats.org/officeDocument/2006/relationships/hyperlink" Target="https://huggingface.co/Qwen/Qwen2.5-72B-Instruct" TargetMode="External"/><Relationship Id="rId42" Type="http://schemas.openxmlformats.org/officeDocument/2006/relationships/hyperlink" Target="https://huggingface.co/deepseek-ai/DeepSeek-V3-0324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ai.google.dev/gemini-api/docs/pricing" TargetMode="External"/><Relationship Id="rId2" Type="http://schemas.openxmlformats.org/officeDocument/2006/relationships/hyperlink" Target="https://cloud.google.com/vertex-ai/generative-ai/docs/partner-models/claude/opus-4" TargetMode="External"/><Relationship Id="rId16" Type="http://schemas.openxmlformats.org/officeDocument/2006/relationships/hyperlink" Target="https://build.nvidia.com/qwen/qwen2_5-coder-7b-instruct" TargetMode="External"/><Relationship Id="rId29" Type="http://schemas.openxmlformats.org/officeDocument/2006/relationships/hyperlink" Target="https://huggingface.co/Qwen/Qwen3-Coder-30B-A3B-Instruct" TargetMode="External"/><Relationship Id="rId1" Type="http://schemas.openxmlformats.org/officeDocument/2006/relationships/hyperlink" Target="https://cloud.google.com/vertex-ai/generative-ai/docs/partner-models/claude/opus-4-1" TargetMode="External"/><Relationship Id="rId6" Type="http://schemas.openxmlformats.org/officeDocument/2006/relationships/hyperlink" Target="https://ai.google.dev/gemini-api/docs/pricing" TargetMode="External"/><Relationship Id="rId11" Type="http://schemas.openxmlformats.org/officeDocument/2006/relationships/hyperlink" Target="https://ai.google.dev/gemini-api/docs/pricing" TargetMode="External"/><Relationship Id="rId24" Type="http://schemas.openxmlformats.org/officeDocument/2006/relationships/hyperlink" Target="https://huggingface.co/openai/gpt-oss-120b" TargetMode="External"/><Relationship Id="rId32" Type="http://schemas.openxmlformats.org/officeDocument/2006/relationships/hyperlink" Target="https://huggingface.co/Qwen/Qwen2.5-Coder-7B-Instruct" TargetMode="External"/><Relationship Id="rId37" Type="http://schemas.openxmlformats.org/officeDocument/2006/relationships/hyperlink" Target="https://huggingface.co/microsoft/phi-4" TargetMode="External"/><Relationship Id="rId40" Type="http://schemas.openxmlformats.org/officeDocument/2006/relationships/hyperlink" Target="https://huggingface.co/deepseek-ai/DeepSeek-R1-0528-Qwen3-8B" TargetMode="External"/><Relationship Id="rId45" Type="http://schemas.openxmlformats.org/officeDocument/2006/relationships/hyperlink" Target="https://huggingface.co/zai-org/GLM-4.5V" TargetMode="External"/><Relationship Id="rId5" Type="http://schemas.openxmlformats.org/officeDocument/2006/relationships/hyperlink" Target="https://cloud.google.com/vertex-ai/generative-ai/docs/partner-models/claude/haiku-3-5" TargetMode="External"/><Relationship Id="rId15" Type="http://schemas.openxmlformats.org/officeDocument/2006/relationships/hyperlink" Target="https://build.nvidia.com/qwen/qwen2_5-coder-32b-instruct" TargetMode="External"/><Relationship Id="rId23" Type="http://schemas.openxmlformats.org/officeDocument/2006/relationships/hyperlink" Target="https://platform.openai.com/docs/models/davinci-002" TargetMode="External"/><Relationship Id="rId28" Type="http://schemas.openxmlformats.org/officeDocument/2006/relationships/hyperlink" Target="https://huggingface.co/Qwen/Qwen3-235B-A22B-Instruct-2507" TargetMode="External"/><Relationship Id="rId36" Type="http://schemas.openxmlformats.org/officeDocument/2006/relationships/hyperlink" Target="https://huggingface.co/zai-org/GLM-4.5-Air" TargetMode="External"/><Relationship Id="rId10" Type="http://schemas.openxmlformats.org/officeDocument/2006/relationships/hyperlink" Target="https://ai.google.dev/gemini-api/docs/pricing" TargetMode="External"/><Relationship Id="rId19" Type="http://schemas.openxmlformats.org/officeDocument/2006/relationships/hyperlink" Target="https://build.nvidia.com/nvidia/nvidia-nemotron-nano-9b-v2" TargetMode="External"/><Relationship Id="rId31" Type="http://schemas.openxmlformats.org/officeDocument/2006/relationships/hyperlink" Target="https://huggingface.co/Qwen/Qwen2.5-Coder-32B-Instruct" TargetMode="External"/><Relationship Id="rId44" Type="http://schemas.openxmlformats.org/officeDocument/2006/relationships/hyperlink" Target="https://huggingface.co/deepseek-ai/DeepSeek-V3" TargetMode="External"/><Relationship Id="rId4" Type="http://schemas.openxmlformats.org/officeDocument/2006/relationships/hyperlink" Target="https://cloud.google.com/vertex-ai/generative-ai/docs/partner-models/claude/sonnet-3-7" TargetMode="External"/><Relationship Id="rId9" Type="http://schemas.openxmlformats.org/officeDocument/2006/relationships/hyperlink" Target="https://ai.google.dev/gemini-api/docs/pricing" TargetMode="External"/><Relationship Id="rId14" Type="http://schemas.openxmlformats.org/officeDocument/2006/relationships/hyperlink" Target="https://ollama.com/library/qwen2.5-coder:7b-instruct" TargetMode="External"/><Relationship Id="rId22" Type="http://schemas.openxmlformats.org/officeDocument/2006/relationships/hyperlink" Target="https://build.nvidia.com/meta/llama-3.2-3b-instruct" TargetMode="External"/><Relationship Id="rId27" Type="http://schemas.openxmlformats.org/officeDocument/2006/relationships/hyperlink" Target="https://huggingface.co/Qwen/Qwen3-Coder-480B-A35B-Instruct" TargetMode="External"/><Relationship Id="rId30" Type="http://schemas.openxmlformats.org/officeDocument/2006/relationships/hyperlink" Target="https://huggingface.co/Qwen/Qwen3-4B-Instruct-2507" TargetMode="External"/><Relationship Id="rId35" Type="http://schemas.openxmlformats.org/officeDocument/2006/relationships/hyperlink" Target="https://huggingface.co/zai-org/GLM-4.5" TargetMode="External"/><Relationship Id="rId43" Type="http://schemas.openxmlformats.org/officeDocument/2006/relationships/hyperlink" Target="https://huggingface.co/deepseek-ai/DeepSeek-R1" TargetMode="External"/><Relationship Id="rId8" Type="http://schemas.openxmlformats.org/officeDocument/2006/relationships/hyperlink" Target="https://ai.google.dev/gemini-api/docs/pricing" TargetMode="External"/><Relationship Id="rId3" Type="http://schemas.openxmlformats.org/officeDocument/2006/relationships/hyperlink" Target="https://cloud.google.com/vertex-ai/generative-ai/docs/partner-models/claude/sonnet-4" TargetMode="External"/><Relationship Id="rId12" Type="http://schemas.openxmlformats.org/officeDocument/2006/relationships/hyperlink" Target="https://ai.google.dev/gemini-api/docs/pricing" TargetMode="External"/><Relationship Id="rId17" Type="http://schemas.openxmlformats.org/officeDocument/2006/relationships/hyperlink" Target="https://build.nvidia.com/qwen/qwen2_5-7b-instruct" TargetMode="External"/><Relationship Id="rId25" Type="http://schemas.openxmlformats.org/officeDocument/2006/relationships/hyperlink" Target="https://huggingface.co/openai/gpt-oss-20b" TargetMode="External"/><Relationship Id="rId33" Type="http://schemas.openxmlformats.org/officeDocument/2006/relationships/hyperlink" Target="https://huggingface.co/Qwen/Qwen2.5-Coder-3B-Instruct" TargetMode="External"/><Relationship Id="rId38" Type="http://schemas.openxmlformats.org/officeDocument/2006/relationships/hyperlink" Target="https://huggingface.co/meta-llama/Llama-4-Scout-17B-16E-Instruct" TargetMode="External"/><Relationship Id="rId46" Type="http://schemas.openxmlformats.org/officeDocument/2006/relationships/hyperlink" Target="https://huggingface.co/HuggingFaceTB/SmolLM3-3B" TargetMode="External"/><Relationship Id="rId20" Type="http://schemas.openxmlformats.org/officeDocument/2006/relationships/hyperlink" Target="https://build.nvidia.com/mistralai/mistral-7b-instruct-v03" TargetMode="External"/><Relationship Id="rId41" Type="http://schemas.openxmlformats.org/officeDocument/2006/relationships/hyperlink" Target="https://huggingface.co/deepseek-ai/DeepSeek-R1-0528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google/gemma-2-27b-it" TargetMode="External"/><Relationship Id="rId3" Type="http://schemas.openxmlformats.org/officeDocument/2006/relationships/hyperlink" Target="https://huggingface.co/mistralai/Devstral-Small-2507_gguf" TargetMode="External"/><Relationship Id="rId7" Type="http://schemas.openxmlformats.org/officeDocument/2006/relationships/hyperlink" Target="https://huggingface.co/mistralai/Mistral-Small-Instruct-2409" TargetMode="External"/><Relationship Id="rId2" Type="http://schemas.openxmlformats.org/officeDocument/2006/relationships/hyperlink" Target="https://huggingface.co/google/medgemma-27b-it" TargetMode="External"/><Relationship Id="rId1" Type="http://schemas.openxmlformats.org/officeDocument/2006/relationships/hyperlink" Target="https://huggingface.co/tiiuae/Falcon-H1-34B-Instruct-GGUF" TargetMode="External"/><Relationship Id="rId6" Type="http://schemas.openxmlformats.org/officeDocument/2006/relationships/hyperlink" Target="https://huggingface.co/meta-llama/Llama-4-Scout-17B-16E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huggingface.co/meta-llama/Llama-Guard-4-12B" TargetMode="External"/><Relationship Id="rId10" Type="http://schemas.openxmlformats.org/officeDocument/2006/relationships/hyperlink" Target="https://huggingface.co/tiiuae/Falcon3-10B-Instruct" TargetMode="External"/><Relationship Id="rId4" Type="http://schemas.openxmlformats.org/officeDocument/2006/relationships/hyperlink" Target="https://huggingface.co/mistralai/Mistral-Small-24B-Instruct-2501" TargetMode="External"/><Relationship Id="rId9" Type="http://schemas.openxmlformats.org/officeDocument/2006/relationships/hyperlink" Target="https://huggingface.co/microsoft/Phi-3.5-mini-instr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DF91-BCC6-491C-B35A-EBE35C9B6E31}">
  <dimension ref="A1:R113"/>
  <sheetViews>
    <sheetView tabSelected="1" zoomScale="85" zoomScaleNormal="85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L14" sqref="L14"/>
    </sheetView>
  </sheetViews>
  <sheetFormatPr defaultRowHeight="14.75" x14ac:dyDescent="0.75"/>
  <cols>
    <col min="1" max="1" width="46.1796875" customWidth="1"/>
    <col min="3" max="3" width="9.1328125" customWidth="1"/>
    <col min="4" max="4" width="15" customWidth="1"/>
    <col min="5" max="5" width="11.04296875" customWidth="1"/>
    <col min="10" max="10" width="57.1328125" customWidth="1"/>
    <col min="11" max="11" width="19.6328125" style="1" customWidth="1"/>
    <col min="12" max="12" width="8.31640625" style="1" customWidth="1"/>
    <col min="13" max="13" width="8.36328125" customWidth="1"/>
    <col min="15" max="15" width="8.31640625" customWidth="1"/>
    <col min="16" max="16" width="22.36328125" customWidth="1"/>
  </cols>
  <sheetData>
    <row r="1" spans="1:18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147</v>
      </c>
      <c r="M1" t="s">
        <v>132</v>
      </c>
    </row>
    <row r="2" spans="1:18" x14ac:dyDescent="0.75">
      <c r="A2" t="s">
        <v>11</v>
      </c>
      <c r="B2">
        <v>18000</v>
      </c>
      <c r="C2">
        <v>512</v>
      </c>
      <c r="D2" t="s">
        <v>12</v>
      </c>
      <c r="E2">
        <v>32000</v>
      </c>
      <c r="F2">
        <v>0</v>
      </c>
      <c r="G2">
        <v>1E-3</v>
      </c>
      <c r="H2">
        <v>4.0000000000000001E-3</v>
      </c>
      <c r="I2">
        <v>1000</v>
      </c>
      <c r="J2" s="2" t="s">
        <v>131</v>
      </c>
      <c r="M2" s="3">
        <f>AVERAGE(M3:M8,M12:M23)</f>
        <v>4.4629629629629628</v>
      </c>
      <c r="N2" s="3"/>
    </row>
    <row r="3" spans="1:18" x14ac:dyDescent="0.75">
      <c r="A3" t="s">
        <v>13</v>
      </c>
      <c r="B3">
        <v>36000</v>
      </c>
      <c r="C3">
        <v>512</v>
      </c>
      <c r="D3" t="s">
        <v>14</v>
      </c>
      <c r="E3">
        <v>16385</v>
      </c>
      <c r="G3">
        <v>0.5</v>
      </c>
      <c r="H3">
        <v>1.5</v>
      </c>
      <c r="I3">
        <v>1000000</v>
      </c>
      <c r="J3" t="s">
        <v>15</v>
      </c>
      <c r="M3">
        <f>H3/G3</f>
        <v>3</v>
      </c>
      <c r="P3" t="s">
        <v>13</v>
      </c>
      <c r="Q3" t="s">
        <v>14</v>
      </c>
      <c r="R3">
        <f>MATCH(P3,A:A,FALSE)</f>
        <v>3</v>
      </c>
    </row>
    <row r="4" spans="1:18" x14ac:dyDescent="0.75">
      <c r="A4" t="s">
        <v>16</v>
      </c>
      <c r="B4">
        <v>72000</v>
      </c>
      <c r="C4">
        <v>512</v>
      </c>
      <c r="D4" t="s">
        <v>14</v>
      </c>
      <c r="E4">
        <v>1047576</v>
      </c>
      <c r="G4">
        <v>0.4</v>
      </c>
      <c r="H4">
        <v>1.6</v>
      </c>
      <c r="I4">
        <v>1000000</v>
      </c>
      <c r="J4" t="s">
        <v>17</v>
      </c>
      <c r="M4">
        <f t="shared" ref="M4:M24" si="0">H4/G4</f>
        <v>4</v>
      </c>
      <c r="P4" t="s">
        <v>16</v>
      </c>
      <c r="Q4" t="s">
        <v>14</v>
      </c>
      <c r="R4">
        <f>MATCH(P4,A:A,FALSE)</f>
        <v>4</v>
      </c>
    </row>
    <row r="5" spans="1:18" x14ac:dyDescent="0.75">
      <c r="A5" t="s">
        <v>18</v>
      </c>
      <c r="B5">
        <v>72000</v>
      </c>
      <c r="C5">
        <v>512</v>
      </c>
      <c r="D5" t="s">
        <v>14</v>
      </c>
      <c r="E5">
        <v>1047576</v>
      </c>
      <c r="G5">
        <v>0.1</v>
      </c>
      <c r="H5">
        <v>0.4</v>
      </c>
      <c r="I5">
        <v>1000000</v>
      </c>
      <c r="J5" t="s">
        <v>19</v>
      </c>
      <c r="M5">
        <f t="shared" si="0"/>
        <v>4</v>
      </c>
      <c r="P5" t="s">
        <v>18</v>
      </c>
      <c r="Q5" t="s">
        <v>14</v>
      </c>
      <c r="R5">
        <f>MATCH(P5,A:A,FALSE)</f>
        <v>5</v>
      </c>
    </row>
    <row r="6" spans="1:18" x14ac:dyDescent="0.75">
      <c r="A6" t="s">
        <v>20</v>
      </c>
      <c r="B6">
        <v>36000</v>
      </c>
      <c r="C6">
        <v>512</v>
      </c>
      <c r="D6" t="s">
        <v>14</v>
      </c>
      <c r="E6">
        <v>1047576</v>
      </c>
      <c r="G6">
        <v>2</v>
      </c>
      <c r="H6">
        <v>8</v>
      </c>
      <c r="I6">
        <v>1000000</v>
      </c>
      <c r="J6" t="s">
        <v>21</v>
      </c>
      <c r="M6">
        <f t="shared" si="0"/>
        <v>4</v>
      </c>
      <c r="P6" t="s">
        <v>20</v>
      </c>
      <c r="Q6" t="s">
        <v>14</v>
      </c>
      <c r="R6">
        <f>MATCH(P6,A:A,FALSE)</f>
        <v>6</v>
      </c>
    </row>
    <row r="7" spans="1:18" x14ac:dyDescent="0.75">
      <c r="A7" t="s">
        <v>22</v>
      </c>
      <c r="B7">
        <v>72000</v>
      </c>
      <c r="C7">
        <v>512</v>
      </c>
      <c r="D7" t="s">
        <v>14</v>
      </c>
      <c r="E7">
        <v>128000</v>
      </c>
      <c r="G7">
        <v>0.15</v>
      </c>
      <c r="H7">
        <v>0.6</v>
      </c>
      <c r="I7">
        <v>1000000</v>
      </c>
      <c r="J7" t="s">
        <v>23</v>
      </c>
      <c r="M7">
        <f t="shared" si="0"/>
        <v>4</v>
      </c>
      <c r="P7" t="s">
        <v>22</v>
      </c>
      <c r="Q7" t="s">
        <v>14</v>
      </c>
      <c r="R7">
        <f>MATCH(P7,A:A,FALSE)</f>
        <v>7</v>
      </c>
    </row>
    <row r="8" spans="1:18" x14ac:dyDescent="0.75">
      <c r="A8" t="s">
        <v>24</v>
      </c>
      <c r="B8">
        <v>72000</v>
      </c>
      <c r="C8">
        <v>512</v>
      </c>
      <c r="D8" t="s">
        <v>14</v>
      </c>
      <c r="E8">
        <v>128000</v>
      </c>
      <c r="G8">
        <v>2.5</v>
      </c>
      <c r="H8">
        <v>10</v>
      </c>
      <c r="I8">
        <v>1000000</v>
      </c>
      <c r="J8" t="s">
        <v>25</v>
      </c>
      <c r="M8">
        <f t="shared" si="0"/>
        <v>4</v>
      </c>
      <c r="P8" t="s">
        <v>24</v>
      </c>
      <c r="Q8" t="s">
        <v>14</v>
      </c>
      <c r="R8">
        <f>MATCH(P8,A:A,FALSE)</f>
        <v>8</v>
      </c>
    </row>
    <row r="9" spans="1:18" x14ac:dyDescent="0.75">
      <c r="A9" t="s">
        <v>26</v>
      </c>
      <c r="B9">
        <v>96000</v>
      </c>
      <c r="C9">
        <v>4096</v>
      </c>
      <c r="D9" t="s">
        <v>14</v>
      </c>
      <c r="E9">
        <v>400000</v>
      </c>
      <c r="F9">
        <v>1</v>
      </c>
      <c r="G9">
        <v>0.25</v>
      </c>
      <c r="H9">
        <v>2</v>
      </c>
      <c r="I9">
        <v>1000000</v>
      </c>
      <c r="J9" t="s">
        <v>27</v>
      </c>
      <c r="M9">
        <f t="shared" si="0"/>
        <v>8</v>
      </c>
      <c r="P9" t="s">
        <v>26</v>
      </c>
      <c r="Q9" t="s">
        <v>14</v>
      </c>
      <c r="R9">
        <f>MATCH(P9,A:A,FALSE)</f>
        <v>9</v>
      </c>
    </row>
    <row r="10" spans="1:18" x14ac:dyDescent="0.75">
      <c r="A10" t="s">
        <v>28</v>
      </c>
      <c r="B10">
        <v>96000</v>
      </c>
      <c r="C10">
        <v>4096</v>
      </c>
      <c r="D10" t="s">
        <v>14</v>
      </c>
      <c r="E10">
        <v>400000</v>
      </c>
      <c r="F10">
        <v>1</v>
      </c>
      <c r="G10">
        <v>0.05</v>
      </c>
      <c r="H10">
        <v>0.4</v>
      </c>
      <c r="I10">
        <v>1000000</v>
      </c>
      <c r="J10" t="s">
        <v>29</v>
      </c>
      <c r="M10">
        <f t="shared" si="0"/>
        <v>8</v>
      </c>
      <c r="P10" t="s">
        <v>28</v>
      </c>
      <c r="Q10" t="s">
        <v>14</v>
      </c>
      <c r="R10">
        <f>MATCH(P10,A:A,FALSE)</f>
        <v>10</v>
      </c>
    </row>
    <row r="11" spans="1:18" x14ac:dyDescent="0.75">
      <c r="A11" t="s">
        <v>30</v>
      </c>
      <c r="B11">
        <v>96000</v>
      </c>
      <c r="C11">
        <v>4096</v>
      </c>
      <c r="D11" t="s">
        <v>14</v>
      </c>
      <c r="E11">
        <v>400000</v>
      </c>
      <c r="F11">
        <v>1</v>
      </c>
      <c r="G11">
        <v>1.25</v>
      </c>
      <c r="H11">
        <v>10</v>
      </c>
      <c r="I11">
        <v>1000000</v>
      </c>
      <c r="J11" t="s">
        <v>31</v>
      </c>
      <c r="M11">
        <f t="shared" si="0"/>
        <v>8</v>
      </c>
      <c r="P11" t="s">
        <v>30</v>
      </c>
      <c r="Q11" t="s">
        <v>14</v>
      </c>
      <c r="R11">
        <f>MATCH(P11,A:A,FALSE)</f>
        <v>11</v>
      </c>
    </row>
    <row r="12" spans="1:18" x14ac:dyDescent="0.75">
      <c r="A12" t="s">
        <v>68</v>
      </c>
      <c r="B12">
        <v>54000</v>
      </c>
      <c r="C12">
        <v>512</v>
      </c>
      <c r="D12" t="s">
        <v>32</v>
      </c>
      <c r="E12">
        <v>200000</v>
      </c>
      <c r="G12">
        <v>0.8</v>
      </c>
      <c r="H12">
        <v>4</v>
      </c>
      <c r="I12">
        <v>1000000</v>
      </c>
      <c r="J12" s="2" t="s">
        <v>74</v>
      </c>
      <c r="M12">
        <f t="shared" si="0"/>
        <v>5</v>
      </c>
      <c r="P12" t="s">
        <v>68</v>
      </c>
      <c r="Q12" t="s">
        <v>32</v>
      </c>
      <c r="R12">
        <f>MATCH(P12,A:A,FALSE)</f>
        <v>12</v>
      </c>
    </row>
    <row r="13" spans="1:18" x14ac:dyDescent="0.75">
      <c r="A13" t="s">
        <v>34</v>
      </c>
      <c r="B13">
        <v>54000</v>
      </c>
      <c r="C13">
        <v>512</v>
      </c>
      <c r="D13" t="s">
        <v>32</v>
      </c>
      <c r="E13">
        <v>200000</v>
      </c>
      <c r="G13">
        <v>3</v>
      </c>
      <c r="H13">
        <v>15</v>
      </c>
      <c r="I13">
        <v>1000000</v>
      </c>
      <c r="J13" s="2" t="s">
        <v>73</v>
      </c>
      <c r="M13">
        <f t="shared" si="0"/>
        <v>5</v>
      </c>
      <c r="P13" t="s">
        <v>34</v>
      </c>
      <c r="Q13" t="s">
        <v>32</v>
      </c>
      <c r="R13">
        <f>MATCH(P13,A:A,FALSE)</f>
        <v>13</v>
      </c>
    </row>
    <row r="14" spans="1:18" x14ac:dyDescent="0.75">
      <c r="A14" t="s">
        <v>35</v>
      </c>
      <c r="B14">
        <v>54000</v>
      </c>
      <c r="C14">
        <v>512</v>
      </c>
      <c r="D14" t="s">
        <v>32</v>
      </c>
      <c r="E14">
        <v>200000</v>
      </c>
      <c r="G14">
        <v>3</v>
      </c>
      <c r="H14">
        <v>15</v>
      </c>
      <c r="I14">
        <v>1000000</v>
      </c>
      <c r="J14" s="2" t="s">
        <v>72</v>
      </c>
      <c r="M14">
        <f t="shared" si="0"/>
        <v>5</v>
      </c>
      <c r="P14" t="s">
        <v>35</v>
      </c>
      <c r="Q14" t="s">
        <v>32</v>
      </c>
      <c r="R14">
        <f>MATCH(P14,A:A,FALSE)</f>
        <v>14</v>
      </c>
    </row>
    <row r="15" spans="1:18" x14ac:dyDescent="0.75">
      <c r="A15" t="s">
        <v>69</v>
      </c>
      <c r="B15">
        <v>54000</v>
      </c>
      <c r="C15">
        <v>512</v>
      </c>
      <c r="D15" t="s">
        <v>32</v>
      </c>
      <c r="E15">
        <v>200000</v>
      </c>
      <c r="G15">
        <v>3</v>
      </c>
      <c r="H15">
        <v>15</v>
      </c>
      <c r="I15">
        <v>1000000</v>
      </c>
      <c r="J15" s="2" t="s">
        <v>71</v>
      </c>
      <c r="M15">
        <f t="shared" si="0"/>
        <v>5</v>
      </c>
      <c r="P15" t="s">
        <v>69</v>
      </c>
      <c r="Q15" t="s">
        <v>32</v>
      </c>
      <c r="R15">
        <f>MATCH(P15,A:A,FALSE)</f>
        <v>15</v>
      </c>
    </row>
    <row r="16" spans="1:18" x14ac:dyDescent="0.75">
      <c r="A16" t="s">
        <v>36</v>
      </c>
      <c r="B16">
        <v>54000</v>
      </c>
      <c r="C16">
        <v>512</v>
      </c>
      <c r="D16" t="s">
        <v>32</v>
      </c>
      <c r="E16">
        <v>200000</v>
      </c>
      <c r="G16">
        <v>15</v>
      </c>
      <c r="H16">
        <v>75</v>
      </c>
      <c r="I16">
        <v>1000000</v>
      </c>
      <c r="J16" s="2" t="s">
        <v>70</v>
      </c>
      <c r="M16">
        <f t="shared" si="0"/>
        <v>5</v>
      </c>
      <c r="P16" t="s">
        <v>36</v>
      </c>
      <c r="Q16" t="s">
        <v>32</v>
      </c>
      <c r="R16">
        <f>MATCH(P16,A:A,FALSE)</f>
        <v>16</v>
      </c>
    </row>
    <row r="17" spans="1:18" x14ac:dyDescent="0.75">
      <c r="A17" t="s">
        <v>37</v>
      </c>
      <c r="B17">
        <v>54000</v>
      </c>
      <c r="C17">
        <v>512</v>
      </c>
      <c r="D17" t="s">
        <v>32</v>
      </c>
      <c r="E17">
        <v>200000</v>
      </c>
      <c r="G17">
        <v>1.4999999999999999E-2</v>
      </c>
      <c r="H17">
        <v>7.4999999999999997E-2</v>
      </c>
      <c r="I17">
        <v>1000</v>
      </c>
      <c r="J17" t="s">
        <v>33</v>
      </c>
      <c r="M17">
        <f t="shared" si="0"/>
        <v>5</v>
      </c>
      <c r="P17" t="s">
        <v>43</v>
      </c>
      <c r="Q17" t="s">
        <v>39</v>
      </c>
      <c r="R17">
        <f>MATCH(P17,A:A,FALSE)</f>
        <v>22</v>
      </c>
    </row>
    <row r="18" spans="1:18" x14ac:dyDescent="0.75">
      <c r="A18" t="s">
        <v>38</v>
      </c>
      <c r="B18">
        <v>30000</v>
      </c>
      <c r="C18">
        <v>512</v>
      </c>
      <c r="D18" t="s">
        <v>39</v>
      </c>
      <c r="E18">
        <v>1000000</v>
      </c>
      <c r="G18">
        <v>7.4999999999999997E-2</v>
      </c>
      <c r="H18">
        <v>0.3</v>
      </c>
      <c r="I18">
        <v>1000000</v>
      </c>
      <c r="J18" s="2" t="s">
        <v>40</v>
      </c>
      <c r="M18">
        <f t="shared" si="0"/>
        <v>4</v>
      </c>
      <c r="P18" t="s">
        <v>77</v>
      </c>
      <c r="Q18" t="s">
        <v>39</v>
      </c>
      <c r="R18">
        <f>MATCH(P18,A:A,FALSE)</f>
        <v>23</v>
      </c>
    </row>
    <row r="19" spans="1:18" x14ac:dyDescent="0.75">
      <c r="A19" t="s">
        <v>76</v>
      </c>
      <c r="B19">
        <v>30000</v>
      </c>
      <c r="C19">
        <v>512</v>
      </c>
      <c r="D19" t="s">
        <v>39</v>
      </c>
      <c r="E19">
        <v>1000000</v>
      </c>
      <c r="G19">
        <v>3.7499999999999999E-2</v>
      </c>
      <c r="H19">
        <v>0.15</v>
      </c>
      <c r="I19">
        <v>1000000</v>
      </c>
      <c r="J19" s="2" t="s">
        <v>75</v>
      </c>
      <c r="M19">
        <f t="shared" si="0"/>
        <v>4</v>
      </c>
      <c r="P19" t="s">
        <v>41</v>
      </c>
      <c r="Q19" t="s">
        <v>39</v>
      </c>
      <c r="R19">
        <f>MATCH(P19,A:A,FALSE)</f>
        <v>20</v>
      </c>
    </row>
    <row r="20" spans="1:18" x14ac:dyDescent="0.75">
      <c r="A20" t="s">
        <v>41</v>
      </c>
      <c r="B20">
        <v>30000</v>
      </c>
      <c r="C20">
        <v>512</v>
      </c>
      <c r="D20" t="s">
        <v>39</v>
      </c>
      <c r="E20">
        <v>1048576</v>
      </c>
      <c r="G20">
        <v>0.1</v>
      </c>
      <c r="H20">
        <v>0.4</v>
      </c>
      <c r="I20">
        <v>1000000</v>
      </c>
      <c r="J20" s="2" t="s">
        <v>42</v>
      </c>
      <c r="M20">
        <f t="shared" si="0"/>
        <v>4</v>
      </c>
      <c r="P20" t="s">
        <v>78</v>
      </c>
      <c r="Q20" t="s">
        <v>39</v>
      </c>
      <c r="R20">
        <f>MATCH(P20,A:A,FALSE)</f>
        <v>21</v>
      </c>
    </row>
    <row r="21" spans="1:18" x14ac:dyDescent="0.75">
      <c r="A21" t="s">
        <v>78</v>
      </c>
      <c r="B21">
        <v>30000</v>
      </c>
      <c r="C21">
        <v>512</v>
      </c>
      <c r="D21" t="s">
        <v>39</v>
      </c>
      <c r="E21">
        <v>1048576</v>
      </c>
      <c r="G21">
        <v>7.4999999999999997E-2</v>
      </c>
      <c r="H21">
        <v>0.3</v>
      </c>
      <c r="I21">
        <v>1000000</v>
      </c>
      <c r="J21" s="2" t="s">
        <v>79</v>
      </c>
      <c r="M21">
        <f t="shared" si="0"/>
        <v>4</v>
      </c>
      <c r="P21" t="s">
        <v>38</v>
      </c>
      <c r="Q21" t="s">
        <v>39</v>
      </c>
      <c r="R21">
        <f>MATCH(P21,A:A,FALSE)</f>
        <v>18</v>
      </c>
    </row>
    <row r="22" spans="1:18" x14ac:dyDescent="0.75">
      <c r="A22" t="s">
        <v>43</v>
      </c>
      <c r="B22">
        <v>96000</v>
      </c>
      <c r="C22">
        <v>512</v>
      </c>
      <c r="D22" t="s">
        <v>39</v>
      </c>
      <c r="E22">
        <v>1048576</v>
      </c>
      <c r="G22">
        <v>0.3</v>
      </c>
      <c r="H22">
        <v>2.5</v>
      </c>
      <c r="I22">
        <v>1000000</v>
      </c>
      <c r="J22" s="2" t="s">
        <v>44</v>
      </c>
      <c r="M22">
        <f t="shared" si="0"/>
        <v>8.3333333333333339</v>
      </c>
      <c r="P22" t="s">
        <v>76</v>
      </c>
      <c r="Q22" t="s">
        <v>39</v>
      </c>
      <c r="R22">
        <f>MATCH(P22,A:A,FALSE)</f>
        <v>19</v>
      </c>
    </row>
    <row r="23" spans="1:18" x14ac:dyDescent="0.75">
      <c r="A23" t="s">
        <v>77</v>
      </c>
      <c r="B23">
        <v>96000</v>
      </c>
      <c r="C23">
        <v>512</v>
      </c>
      <c r="D23" t="s">
        <v>39</v>
      </c>
      <c r="E23">
        <v>1048576</v>
      </c>
      <c r="G23">
        <v>0.1</v>
      </c>
      <c r="H23">
        <v>0.3</v>
      </c>
      <c r="I23">
        <v>1000000</v>
      </c>
      <c r="J23" s="2" t="s">
        <v>80</v>
      </c>
      <c r="M23">
        <f t="shared" si="0"/>
        <v>2.9999999999999996</v>
      </c>
      <c r="P23" t="s">
        <v>45</v>
      </c>
      <c r="Q23" t="s">
        <v>39</v>
      </c>
      <c r="R23">
        <f>MATCH(P23,A:A,FALSE)</f>
        <v>24</v>
      </c>
    </row>
    <row r="24" spans="1:18" x14ac:dyDescent="0.75">
      <c r="A24" t="s">
        <v>45</v>
      </c>
      <c r="B24">
        <v>96000</v>
      </c>
      <c r="C24">
        <v>1024</v>
      </c>
      <c r="D24" t="s">
        <v>39</v>
      </c>
      <c r="E24">
        <v>1048576</v>
      </c>
      <c r="G24">
        <v>1.25</v>
      </c>
      <c r="H24">
        <v>10</v>
      </c>
      <c r="I24">
        <v>1000000</v>
      </c>
      <c r="J24" s="2" t="s">
        <v>46</v>
      </c>
      <c r="M24">
        <f t="shared" si="0"/>
        <v>8</v>
      </c>
      <c r="P24" t="s">
        <v>81</v>
      </c>
      <c r="Q24" t="s">
        <v>67</v>
      </c>
      <c r="R24">
        <f>MATCH(P24,A:A,FALSE)</f>
        <v>55</v>
      </c>
    </row>
    <row r="25" spans="1:18" x14ac:dyDescent="0.75">
      <c r="A25" t="s">
        <v>47</v>
      </c>
      <c r="B25">
        <v>16000</v>
      </c>
      <c r="C25">
        <v>512</v>
      </c>
      <c r="D25" t="s">
        <v>48</v>
      </c>
      <c r="E25">
        <v>131072</v>
      </c>
      <c r="G25">
        <f>G$2</f>
        <v>1E-3</v>
      </c>
      <c r="H25">
        <f t="shared" ref="H25:I40" si="1">H$2</f>
        <v>4.0000000000000001E-3</v>
      </c>
      <c r="I25">
        <f t="shared" si="1"/>
        <v>1000</v>
      </c>
      <c r="J25" t="s">
        <v>49</v>
      </c>
      <c r="K25" s="1">
        <v>4000000000</v>
      </c>
      <c r="P25" t="s">
        <v>83</v>
      </c>
      <c r="Q25" t="s">
        <v>67</v>
      </c>
      <c r="R25">
        <f>MATCH(P25,A:A,FALSE)</f>
        <v>56</v>
      </c>
    </row>
    <row r="26" spans="1:18" x14ac:dyDescent="0.75">
      <c r="A26" t="s">
        <v>56</v>
      </c>
      <c r="B26">
        <v>16000</v>
      </c>
      <c r="C26">
        <v>512</v>
      </c>
      <c r="D26" t="s">
        <v>48</v>
      </c>
      <c r="E26">
        <v>131072</v>
      </c>
      <c r="G26">
        <f t="shared" ref="G26:I52" si="2">G$2</f>
        <v>1E-3</v>
      </c>
      <c r="H26">
        <f t="shared" si="1"/>
        <v>4.0000000000000001E-3</v>
      </c>
      <c r="I26">
        <f t="shared" si="1"/>
        <v>1000</v>
      </c>
      <c r="J26" t="s">
        <v>51</v>
      </c>
      <c r="K26" s="1">
        <v>8000000000</v>
      </c>
      <c r="P26" t="s">
        <v>84</v>
      </c>
      <c r="Q26" t="s">
        <v>67</v>
      </c>
      <c r="R26">
        <f>MATCH(P26,A:A,FALSE)</f>
        <v>57</v>
      </c>
    </row>
    <row r="27" spans="1:18" x14ac:dyDescent="0.75">
      <c r="A27" t="s">
        <v>57</v>
      </c>
      <c r="B27">
        <v>16000</v>
      </c>
      <c r="C27">
        <v>512</v>
      </c>
      <c r="D27" t="s">
        <v>48</v>
      </c>
      <c r="E27">
        <v>131072</v>
      </c>
      <c r="G27">
        <f t="shared" si="2"/>
        <v>1E-3</v>
      </c>
      <c r="H27">
        <f t="shared" si="1"/>
        <v>4.0000000000000001E-3</v>
      </c>
      <c r="I27">
        <f t="shared" si="1"/>
        <v>1000</v>
      </c>
      <c r="J27" t="s">
        <v>58</v>
      </c>
      <c r="K27" s="1">
        <v>49900000000</v>
      </c>
      <c r="P27" t="s">
        <v>85</v>
      </c>
      <c r="Q27" t="s">
        <v>67</v>
      </c>
      <c r="R27">
        <f>MATCH(P27,A:A,FALSE)</f>
        <v>58</v>
      </c>
    </row>
    <row r="28" spans="1:18" x14ac:dyDescent="0.75">
      <c r="A28" t="s">
        <v>90</v>
      </c>
      <c r="B28">
        <v>16000</v>
      </c>
      <c r="C28">
        <v>512</v>
      </c>
      <c r="D28" t="s">
        <v>48</v>
      </c>
      <c r="E28">
        <v>131072</v>
      </c>
      <c r="G28">
        <f t="shared" si="2"/>
        <v>1E-3</v>
      </c>
      <c r="H28">
        <f t="shared" si="1"/>
        <v>4.0000000000000001E-3</v>
      </c>
      <c r="I28">
        <f t="shared" si="1"/>
        <v>1000</v>
      </c>
      <c r="J28" t="s">
        <v>58</v>
      </c>
      <c r="K28" s="1">
        <v>49900000000</v>
      </c>
      <c r="P28" t="s">
        <v>86</v>
      </c>
      <c r="Q28" t="s">
        <v>67</v>
      </c>
      <c r="R28">
        <f>MATCH(P28,A:A,FALSE)</f>
        <v>59</v>
      </c>
    </row>
    <row r="29" spans="1:18" x14ac:dyDescent="0.75">
      <c r="A29" t="s">
        <v>59</v>
      </c>
      <c r="B29">
        <v>16000</v>
      </c>
      <c r="C29">
        <v>512</v>
      </c>
      <c r="D29" t="s">
        <v>48</v>
      </c>
      <c r="E29">
        <v>131072</v>
      </c>
      <c r="G29">
        <f t="shared" si="2"/>
        <v>1E-3</v>
      </c>
      <c r="H29">
        <f t="shared" si="1"/>
        <v>4.0000000000000001E-3</v>
      </c>
      <c r="I29">
        <f t="shared" si="1"/>
        <v>1000</v>
      </c>
      <c r="J29" t="s">
        <v>60</v>
      </c>
      <c r="K29" s="1">
        <v>253000000000</v>
      </c>
      <c r="P29" t="s">
        <v>87</v>
      </c>
      <c r="Q29" t="s">
        <v>67</v>
      </c>
      <c r="R29">
        <f>MATCH(P29,A:A,FALSE)</f>
        <v>60</v>
      </c>
    </row>
    <row r="30" spans="1:18" x14ac:dyDescent="0.75">
      <c r="A30" t="s">
        <v>92</v>
      </c>
      <c r="B30">
        <v>18000</v>
      </c>
      <c r="C30">
        <v>512</v>
      </c>
      <c r="D30" t="s">
        <v>48</v>
      </c>
      <c r="E30">
        <v>32000</v>
      </c>
      <c r="G30">
        <f t="shared" si="2"/>
        <v>1E-3</v>
      </c>
      <c r="H30">
        <f t="shared" si="1"/>
        <v>4.0000000000000001E-3</v>
      </c>
      <c r="I30">
        <f t="shared" si="1"/>
        <v>1000</v>
      </c>
      <c r="J30" t="str">
        <f>"https://build.nvidia.com/"&amp;SUBSTITUTE(A30,".","_")</f>
        <v>https://build.nvidia.com/google/gemma-3-1b-it</v>
      </c>
      <c r="K30" s="1">
        <v>1000000000</v>
      </c>
      <c r="M30" s="2"/>
      <c r="N30" s="2"/>
      <c r="P30" t="s">
        <v>88</v>
      </c>
      <c r="Q30" t="s">
        <v>67</v>
      </c>
      <c r="R30">
        <f>MATCH(P30,A:A,FALSE)</f>
        <v>61</v>
      </c>
    </row>
    <row r="31" spans="1:18" x14ac:dyDescent="0.75">
      <c r="A31" t="s">
        <v>106</v>
      </c>
      <c r="B31">
        <v>18000</v>
      </c>
      <c r="C31">
        <v>512</v>
      </c>
      <c r="D31" t="s">
        <v>48</v>
      </c>
      <c r="E31">
        <v>4000</v>
      </c>
      <c r="G31">
        <f t="shared" si="2"/>
        <v>1E-3</v>
      </c>
      <c r="H31">
        <f t="shared" si="1"/>
        <v>4.0000000000000001E-3</v>
      </c>
      <c r="I31">
        <f t="shared" si="1"/>
        <v>1000</v>
      </c>
      <c r="J31" t="str">
        <f t="shared" ref="J31:J37" si="3">"https://build.nvidia.com/"&amp;SUBSTITUTE(A31,".","_")</f>
        <v>https://build.nvidia.com/google/gemma-2-2b-it</v>
      </c>
      <c r="K31" s="1">
        <v>2000000000</v>
      </c>
      <c r="M31" s="2"/>
      <c r="N31" s="2"/>
      <c r="P31" t="s">
        <v>47</v>
      </c>
      <c r="Q31" t="s">
        <v>48</v>
      </c>
      <c r="R31">
        <f>MATCH(P31,A:A,FALSE)</f>
        <v>25</v>
      </c>
    </row>
    <row r="32" spans="1:18" x14ac:dyDescent="0.75">
      <c r="A32" t="s">
        <v>94</v>
      </c>
      <c r="B32">
        <v>18000</v>
      </c>
      <c r="C32">
        <v>512</v>
      </c>
      <c r="D32" t="s">
        <v>48</v>
      </c>
      <c r="E32">
        <v>8000</v>
      </c>
      <c r="G32">
        <f t="shared" si="2"/>
        <v>1E-3</v>
      </c>
      <c r="H32">
        <f t="shared" si="1"/>
        <v>4.0000000000000001E-3</v>
      </c>
      <c r="I32">
        <f t="shared" si="1"/>
        <v>1000</v>
      </c>
      <c r="J32" t="str">
        <f t="shared" si="3"/>
        <v>https://build.nvidia.com/google/gemma-7b</v>
      </c>
      <c r="K32" s="1">
        <v>7000000000</v>
      </c>
      <c r="M32" s="2"/>
      <c r="N32" s="2"/>
      <c r="P32" t="s">
        <v>56</v>
      </c>
      <c r="Q32" t="s">
        <v>48</v>
      </c>
      <c r="R32">
        <f>MATCH(P32,A:A,FALSE)</f>
        <v>26</v>
      </c>
    </row>
    <row r="33" spans="1:18" x14ac:dyDescent="0.75">
      <c r="A33" t="s">
        <v>95</v>
      </c>
      <c r="B33">
        <v>18000</v>
      </c>
      <c r="C33">
        <v>512</v>
      </c>
      <c r="D33" t="s">
        <v>48</v>
      </c>
      <c r="E33">
        <v>8000</v>
      </c>
      <c r="G33">
        <f t="shared" si="2"/>
        <v>1E-3</v>
      </c>
      <c r="H33">
        <f t="shared" si="1"/>
        <v>4.0000000000000001E-3</v>
      </c>
      <c r="I33">
        <f t="shared" si="1"/>
        <v>1000</v>
      </c>
      <c r="J33" t="str">
        <f t="shared" si="3"/>
        <v>https://build.nvidia.com/google/codegemma-7b</v>
      </c>
      <c r="K33" s="1">
        <v>7000000000</v>
      </c>
      <c r="M33" s="2"/>
      <c r="N33" s="2"/>
      <c r="P33" t="s">
        <v>57</v>
      </c>
      <c r="Q33" t="s">
        <v>48</v>
      </c>
      <c r="R33">
        <f>MATCH(P33,A:A,FALSE)</f>
        <v>27</v>
      </c>
    </row>
    <row r="34" spans="1:18" x14ac:dyDescent="0.75">
      <c r="A34" t="s">
        <v>96</v>
      </c>
      <c r="B34">
        <v>18000</v>
      </c>
      <c r="C34">
        <v>512</v>
      </c>
      <c r="D34" t="s">
        <v>48</v>
      </c>
      <c r="E34">
        <v>128000</v>
      </c>
      <c r="G34">
        <f t="shared" si="2"/>
        <v>1E-3</v>
      </c>
      <c r="H34">
        <f t="shared" si="1"/>
        <v>4.0000000000000001E-3</v>
      </c>
      <c r="I34">
        <f t="shared" si="1"/>
        <v>1000</v>
      </c>
      <c r="J34" t="str">
        <f t="shared" si="3"/>
        <v>https://build.nvidia.com/google/gemma-3-27b-it</v>
      </c>
      <c r="K34" s="1">
        <v>27000000000</v>
      </c>
      <c r="M34" s="2"/>
      <c r="N34" s="2"/>
      <c r="P34" t="s">
        <v>90</v>
      </c>
      <c r="Q34" t="s">
        <v>48</v>
      </c>
      <c r="R34">
        <f>MATCH(P34,A:A,FALSE)</f>
        <v>28</v>
      </c>
    </row>
    <row r="35" spans="1:18" x14ac:dyDescent="0.75">
      <c r="A35" t="s">
        <v>97</v>
      </c>
      <c r="B35">
        <v>18000</v>
      </c>
      <c r="C35">
        <v>512</v>
      </c>
      <c r="D35" t="s">
        <v>48</v>
      </c>
      <c r="E35">
        <v>128000</v>
      </c>
      <c r="G35">
        <v>1.6</v>
      </c>
      <c r="H35">
        <v>1.6</v>
      </c>
      <c r="I35">
        <v>1000000</v>
      </c>
      <c r="J35" t="str">
        <f t="shared" si="3"/>
        <v>https://build.nvidia.com/deepseek-ai/deepseek-r1-distill-qwen-7b</v>
      </c>
      <c r="K35" s="1">
        <v>7000000000</v>
      </c>
      <c r="M35" s="2"/>
      <c r="N35" s="2"/>
      <c r="P35" t="s">
        <v>59</v>
      </c>
      <c r="Q35" t="s">
        <v>48</v>
      </c>
      <c r="R35">
        <f>MATCH(P35,A:A,FALSE)</f>
        <v>29</v>
      </c>
    </row>
    <row r="36" spans="1:18" x14ac:dyDescent="0.75">
      <c r="A36" t="s">
        <v>98</v>
      </c>
      <c r="B36">
        <v>18000</v>
      </c>
      <c r="C36">
        <v>512</v>
      </c>
      <c r="D36" t="s">
        <v>48</v>
      </c>
      <c r="E36">
        <v>128000</v>
      </c>
      <c r="G36">
        <v>1.6</v>
      </c>
      <c r="H36">
        <v>1.6</v>
      </c>
      <c r="I36">
        <v>1000000</v>
      </c>
      <c r="J36" t="str">
        <f t="shared" si="3"/>
        <v>https://build.nvidia.com/deepseek-ai/deepseek-r1-distill-llama-8b</v>
      </c>
      <c r="K36" s="1">
        <v>8000000000</v>
      </c>
      <c r="M36" s="2"/>
      <c r="N36" s="2"/>
      <c r="P36" t="s">
        <v>92</v>
      </c>
      <c r="R36">
        <f>MATCH(P36,A:A,FALSE)</f>
        <v>30</v>
      </c>
    </row>
    <row r="37" spans="1:18" x14ac:dyDescent="0.75">
      <c r="A37" t="s">
        <v>99</v>
      </c>
      <c r="B37">
        <v>18000</v>
      </c>
      <c r="C37">
        <v>512</v>
      </c>
      <c r="D37" t="s">
        <v>48</v>
      </c>
      <c r="E37">
        <v>128000</v>
      </c>
      <c r="G37">
        <f t="shared" si="2"/>
        <v>1E-3</v>
      </c>
      <c r="H37">
        <f t="shared" si="1"/>
        <v>4.0000000000000001E-3</v>
      </c>
      <c r="I37">
        <f t="shared" si="1"/>
        <v>1000</v>
      </c>
      <c r="J37" t="str">
        <f t="shared" si="3"/>
        <v>https://build.nvidia.com/ibm/granite-3_3-8b-instruct</v>
      </c>
      <c r="K37" s="1">
        <v>8000000000</v>
      </c>
      <c r="M37" s="2"/>
      <c r="N37" s="2"/>
      <c r="P37" t="s">
        <v>93</v>
      </c>
      <c r="R37" t="e">
        <f>MATCH(P37,A:A,FALSE)</f>
        <v>#N/A</v>
      </c>
    </row>
    <row r="38" spans="1:18" x14ac:dyDescent="0.75">
      <c r="A38" t="s">
        <v>100</v>
      </c>
      <c r="B38">
        <v>36000</v>
      </c>
      <c r="C38">
        <v>512</v>
      </c>
      <c r="D38" t="s">
        <v>48</v>
      </c>
      <c r="E38">
        <v>32768</v>
      </c>
      <c r="G38">
        <f t="shared" si="2"/>
        <v>1E-3</v>
      </c>
      <c r="H38">
        <f t="shared" si="1"/>
        <v>4.0000000000000001E-3</v>
      </c>
      <c r="I38">
        <f t="shared" si="1"/>
        <v>1000</v>
      </c>
      <c r="J38" s="2" t="s">
        <v>105</v>
      </c>
      <c r="K38" s="1">
        <v>234000000000</v>
      </c>
      <c r="P38" t="s">
        <v>94</v>
      </c>
      <c r="R38">
        <f>MATCH(P38,A:A,FALSE)</f>
        <v>32</v>
      </c>
    </row>
    <row r="39" spans="1:18" x14ac:dyDescent="0.75">
      <c r="A39" t="s">
        <v>101</v>
      </c>
      <c r="B39">
        <v>36000</v>
      </c>
      <c r="C39">
        <v>512</v>
      </c>
      <c r="D39" t="s">
        <v>48</v>
      </c>
      <c r="E39">
        <v>32000</v>
      </c>
      <c r="G39">
        <f t="shared" si="2"/>
        <v>1E-3</v>
      </c>
      <c r="H39">
        <f t="shared" si="1"/>
        <v>4.0000000000000001E-3</v>
      </c>
      <c r="I39">
        <f t="shared" si="1"/>
        <v>1000</v>
      </c>
      <c r="J39" s="2" t="s">
        <v>61</v>
      </c>
      <c r="K39" s="1">
        <v>7000000000</v>
      </c>
      <c r="P39" t="s">
        <v>95</v>
      </c>
      <c r="R39">
        <f>MATCH(P39,A:A,FALSE)</f>
        <v>33</v>
      </c>
    </row>
    <row r="40" spans="1:18" x14ac:dyDescent="0.75">
      <c r="A40" t="s">
        <v>102</v>
      </c>
      <c r="B40">
        <v>36000</v>
      </c>
      <c r="C40">
        <v>512</v>
      </c>
      <c r="D40" t="s">
        <v>48</v>
      </c>
      <c r="E40">
        <v>32000</v>
      </c>
      <c r="G40">
        <f t="shared" si="2"/>
        <v>1E-3</v>
      </c>
      <c r="H40">
        <f t="shared" si="1"/>
        <v>4.0000000000000001E-3</v>
      </c>
      <c r="I40">
        <f t="shared" si="1"/>
        <v>1000</v>
      </c>
      <c r="J40" s="2" t="s">
        <v>103</v>
      </c>
      <c r="K40" s="1">
        <v>32000000000</v>
      </c>
      <c r="P40" t="s">
        <v>96</v>
      </c>
      <c r="R40">
        <f>MATCH(P40,A:A,FALSE)</f>
        <v>34</v>
      </c>
    </row>
    <row r="41" spans="1:18" x14ac:dyDescent="0.75">
      <c r="A41" t="s">
        <v>91</v>
      </c>
      <c r="B41">
        <v>36000</v>
      </c>
      <c r="C41">
        <v>512</v>
      </c>
      <c r="D41" t="s">
        <v>48</v>
      </c>
      <c r="E41">
        <v>128000</v>
      </c>
      <c r="G41">
        <f t="shared" si="2"/>
        <v>1E-3</v>
      </c>
      <c r="H41">
        <f t="shared" si="2"/>
        <v>4.0000000000000001E-3</v>
      </c>
      <c r="I41">
        <f t="shared" si="2"/>
        <v>1000</v>
      </c>
      <c r="J41" s="2" t="s">
        <v>104</v>
      </c>
      <c r="K41" s="1">
        <v>7000000000</v>
      </c>
      <c r="P41" t="s">
        <v>97</v>
      </c>
      <c r="R41">
        <f>MATCH(P41,A:A,FALSE)</f>
        <v>35</v>
      </c>
    </row>
    <row r="42" spans="1:18" x14ac:dyDescent="0.75">
      <c r="A42" t="s">
        <v>116</v>
      </c>
      <c r="B42">
        <v>18000</v>
      </c>
      <c r="C42">
        <v>512</v>
      </c>
      <c r="D42" t="s">
        <v>48</v>
      </c>
      <c r="E42">
        <v>8000</v>
      </c>
      <c r="G42">
        <f t="shared" si="2"/>
        <v>1E-3</v>
      </c>
      <c r="H42">
        <f t="shared" si="2"/>
        <v>4.0000000000000001E-3</v>
      </c>
      <c r="I42">
        <f t="shared" si="2"/>
        <v>1000</v>
      </c>
      <c r="J42" t="str">
        <f>"https://build.nvidia.com/"&amp;SUBSTITUTE(A42,".","_")</f>
        <v>https://build.nvidia.com/nvidia/mistral-nemo-minitron-8b-base</v>
      </c>
      <c r="K42" s="1">
        <v>8000000000</v>
      </c>
      <c r="M42" s="2"/>
      <c r="N42" s="2"/>
      <c r="P42" t="s">
        <v>98</v>
      </c>
      <c r="R42">
        <f>MATCH(P42,A:A,FALSE)</f>
        <v>36</v>
      </c>
    </row>
    <row r="43" spans="1:18" x14ac:dyDescent="0.75">
      <c r="A43" t="s">
        <v>117</v>
      </c>
      <c r="B43">
        <v>18000</v>
      </c>
      <c r="C43">
        <v>512</v>
      </c>
      <c r="D43" t="s">
        <v>48</v>
      </c>
      <c r="E43">
        <v>128000</v>
      </c>
      <c r="G43">
        <f t="shared" ref="G43:I61" si="4">G$2</f>
        <v>1E-3</v>
      </c>
      <c r="H43">
        <f t="shared" si="4"/>
        <v>4.0000000000000001E-3</v>
      </c>
      <c r="I43">
        <f t="shared" si="4"/>
        <v>1000</v>
      </c>
      <c r="J43" s="2" t="s">
        <v>118</v>
      </c>
      <c r="K43" s="1">
        <v>9000000000</v>
      </c>
      <c r="P43" t="s">
        <v>99</v>
      </c>
      <c r="R43">
        <f>MATCH(P43,A:A,FALSE)</f>
        <v>37</v>
      </c>
    </row>
    <row r="44" spans="1:18" x14ac:dyDescent="0.75">
      <c r="A44" t="s">
        <v>107</v>
      </c>
      <c r="B44">
        <v>18000</v>
      </c>
      <c r="C44">
        <v>512</v>
      </c>
      <c r="D44" t="s">
        <v>48</v>
      </c>
      <c r="E44">
        <v>8000</v>
      </c>
      <c r="G44">
        <f t="shared" si="2"/>
        <v>1E-3</v>
      </c>
      <c r="H44">
        <f t="shared" si="2"/>
        <v>4.0000000000000001E-3</v>
      </c>
      <c r="I44">
        <f t="shared" si="2"/>
        <v>1000</v>
      </c>
      <c r="J44" s="2" t="s">
        <v>119</v>
      </c>
      <c r="K44" s="1">
        <v>7000000000</v>
      </c>
      <c r="M44" s="2"/>
      <c r="N44" s="2"/>
      <c r="P44" t="s">
        <v>100</v>
      </c>
      <c r="R44">
        <f>MATCH(P44,A:A,FALSE)</f>
        <v>38</v>
      </c>
    </row>
    <row r="45" spans="1:18" x14ac:dyDescent="0.75">
      <c r="A45" t="s">
        <v>108</v>
      </c>
      <c r="B45">
        <v>18000</v>
      </c>
      <c r="C45">
        <v>512</v>
      </c>
      <c r="D45" t="s">
        <v>48</v>
      </c>
      <c r="E45">
        <v>32000</v>
      </c>
      <c r="G45">
        <f t="shared" si="2"/>
        <v>1E-3</v>
      </c>
      <c r="H45">
        <f t="shared" si="2"/>
        <v>4.0000000000000001E-3</v>
      </c>
      <c r="I45">
        <f t="shared" si="2"/>
        <v>1000</v>
      </c>
      <c r="J45" s="2" t="s">
        <v>120</v>
      </c>
      <c r="K45" s="1">
        <v>7000000000</v>
      </c>
      <c r="M45" s="2"/>
      <c r="N45" s="2"/>
      <c r="P45" t="s">
        <v>101</v>
      </c>
      <c r="R45">
        <f>MATCH(P45,A:A,FALSE)</f>
        <v>39</v>
      </c>
    </row>
    <row r="46" spans="1:18" x14ac:dyDescent="0.75">
      <c r="A46" t="s">
        <v>109</v>
      </c>
      <c r="B46">
        <v>18000</v>
      </c>
      <c r="C46">
        <v>512</v>
      </c>
      <c r="D46" t="s">
        <v>48</v>
      </c>
      <c r="E46">
        <v>128000</v>
      </c>
      <c r="G46">
        <f t="shared" si="2"/>
        <v>1E-3</v>
      </c>
      <c r="H46">
        <f t="shared" si="2"/>
        <v>4.0000000000000001E-3</v>
      </c>
      <c r="I46">
        <f t="shared" si="2"/>
        <v>1000</v>
      </c>
      <c r="J46" t="str">
        <f>"https://build.nvidia.com/"&amp;SUBSTITUTE(A46,".","_")</f>
        <v>https://build.nvidia.com/mistralai/mistral-nemotron</v>
      </c>
      <c r="K46" s="1">
        <v>12000000000</v>
      </c>
      <c r="M46" s="2"/>
      <c r="N46" s="2"/>
      <c r="P46" t="s">
        <v>102</v>
      </c>
      <c r="R46">
        <f>MATCH(P46,A:A,FALSE)</f>
        <v>40</v>
      </c>
    </row>
    <row r="47" spans="1:18" x14ac:dyDescent="0.75">
      <c r="A47" t="s">
        <v>110</v>
      </c>
      <c r="B47">
        <v>18000</v>
      </c>
      <c r="C47">
        <v>512</v>
      </c>
      <c r="D47" t="s">
        <v>48</v>
      </c>
      <c r="E47">
        <v>128000</v>
      </c>
      <c r="G47">
        <f t="shared" si="2"/>
        <v>1E-3</v>
      </c>
      <c r="H47">
        <f t="shared" si="2"/>
        <v>4.0000000000000001E-3</v>
      </c>
      <c r="I47">
        <f t="shared" si="2"/>
        <v>1000</v>
      </c>
      <c r="J47" s="2" t="s">
        <v>121</v>
      </c>
      <c r="K47" s="1">
        <v>3000000000</v>
      </c>
      <c r="M47" s="2"/>
      <c r="N47" s="2"/>
      <c r="P47" t="s">
        <v>91</v>
      </c>
      <c r="R47">
        <f>MATCH(P47,A:A,FALSE)</f>
        <v>41</v>
      </c>
    </row>
    <row r="48" spans="1:18" x14ac:dyDescent="0.75">
      <c r="A48" t="s">
        <v>111</v>
      </c>
      <c r="B48">
        <v>18000</v>
      </c>
      <c r="C48">
        <v>512</v>
      </c>
      <c r="D48" t="s">
        <v>48</v>
      </c>
      <c r="E48">
        <v>128000</v>
      </c>
      <c r="G48">
        <f t="shared" si="2"/>
        <v>1E-3</v>
      </c>
      <c r="H48">
        <f t="shared" si="2"/>
        <v>4.0000000000000001E-3</v>
      </c>
      <c r="I48">
        <f t="shared" si="2"/>
        <v>1000</v>
      </c>
      <c r="J48" t="str">
        <f>"https://build.nvidia.com/"&amp;SUBSTITUTE(A48,".","_")</f>
        <v>https://build.nvidia.com/microsoft/phi-4-mini-instruct</v>
      </c>
      <c r="K48" s="1">
        <v>3800000000</v>
      </c>
      <c r="M48" s="2"/>
      <c r="N48" s="2"/>
      <c r="P48" t="s">
        <v>142</v>
      </c>
      <c r="R48" t="e">
        <f>MATCH(P48,A:A,FALSE)</f>
        <v>#N/A</v>
      </c>
    </row>
    <row r="49" spans="1:18" x14ac:dyDescent="0.75">
      <c r="A49" t="s">
        <v>112</v>
      </c>
      <c r="B49">
        <v>18000</v>
      </c>
      <c r="C49">
        <v>512</v>
      </c>
      <c r="D49" t="s">
        <v>48</v>
      </c>
      <c r="E49">
        <v>128000</v>
      </c>
      <c r="G49">
        <f t="shared" si="2"/>
        <v>1E-3</v>
      </c>
      <c r="H49">
        <f t="shared" si="2"/>
        <v>4.0000000000000001E-3</v>
      </c>
      <c r="I49">
        <f t="shared" si="2"/>
        <v>1000</v>
      </c>
      <c r="J49" t="str">
        <f>"https://build.nvidia.com/"&amp;SUBSTITUTE(A49,".","_")</f>
        <v>https://build.nvidia.com/microsoft/phi-3-small-128k-instruct</v>
      </c>
      <c r="K49" s="1">
        <v>7000000000</v>
      </c>
      <c r="M49" s="2"/>
      <c r="N49" s="2"/>
      <c r="P49" t="s">
        <v>107</v>
      </c>
      <c r="R49">
        <f>MATCH(P49,A:A,FALSE)</f>
        <v>44</v>
      </c>
    </row>
    <row r="50" spans="1:18" x14ac:dyDescent="0.75">
      <c r="A50" t="s">
        <v>113</v>
      </c>
      <c r="B50">
        <v>18000</v>
      </c>
      <c r="C50">
        <v>512</v>
      </c>
      <c r="D50" t="s">
        <v>48</v>
      </c>
      <c r="E50">
        <v>64000</v>
      </c>
      <c r="G50">
        <f t="shared" si="2"/>
        <v>1E-3</v>
      </c>
      <c r="H50">
        <f t="shared" si="2"/>
        <v>4.0000000000000001E-3</v>
      </c>
      <c r="I50">
        <f t="shared" si="2"/>
        <v>1000</v>
      </c>
      <c r="J50" t="str">
        <f>"https://build.nvidia.com/"&amp;SUBSTITUTE(A50,".","_")</f>
        <v>https://build.nvidia.com/microsoft/phi-4-mini-flash-reasoning</v>
      </c>
      <c r="K50" s="1">
        <v>3800000000</v>
      </c>
      <c r="M50" s="2"/>
      <c r="N50" s="2"/>
      <c r="P50" t="s">
        <v>108</v>
      </c>
      <c r="R50">
        <f>MATCH(P50,A:A,FALSE)</f>
        <v>45</v>
      </c>
    </row>
    <row r="51" spans="1:18" x14ac:dyDescent="0.75">
      <c r="A51" t="s">
        <v>114</v>
      </c>
      <c r="B51">
        <v>18000</v>
      </c>
      <c r="C51">
        <v>512</v>
      </c>
      <c r="D51" t="s">
        <v>48</v>
      </c>
      <c r="E51">
        <v>128000</v>
      </c>
      <c r="G51">
        <f t="shared" si="2"/>
        <v>1E-3</v>
      </c>
      <c r="H51">
        <f t="shared" si="2"/>
        <v>4.0000000000000001E-3</v>
      </c>
      <c r="I51">
        <f t="shared" si="2"/>
        <v>1000</v>
      </c>
      <c r="J51" t="str">
        <f>"https://build.nvidia.com/"&amp;SUBSTITUTE(A51,".","_")</f>
        <v>https://build.nvidia.com/nv-mistralai/mistral-nemo-12b-instruct</v>
      </c>
      <c r="K51" s="1">
        <v>12000000000</v>
      </c>
      <c r="M51" s="2"/>
      <c r="N51" s="2"/>
      <c r="P51" t="s">
        <v>109</v>
      </c>
      <c r="R51">
        <f>MATCH(P51,A:A,FALSE)</f>
        <v>46</v>
      </c>
    </row>
    <row r="52" spans="1:18" x14ac:dyDescent="0.75">
      <c r="A52" t="s">
        <v>115</v>
      </c>
      <c r="B52">
        <v>18000</v>
      </c>
      <c r="C52">
        <v>512</v>
      </c>
      <c r="D52" t="s">
        <v>48</v>
      </c>
      <c r="E52">
        <v>32000</v>
      </c>
      <c r="G52">
        <f t="shared" si="2"/>
        <v>1E-3</v>
      </c>
      <c r="H52">
        <f t="shared" si="2"/>
        <v>4.0000000000000001E-3</v>
      </c>
      <c r="I52">
        <f t="shared" si="2"/>
        <v>1000</v>
      </c>
      <c r="J52" t="str">
        <f>"https://build.nvidia.com/"&amp;SUBSTITUTE(A52,".","_")</f>
        <v>https://build.nvidia.com/tiiuae/falcon3-7b-instruct</v>
      </c>
      <c r="K52" s="1">
        <v>7220000000</v>
      </c>
      <c r="M52" s="2"/>
      <c r="N52" s="2"/>
      <c r="P52" t="s">
        <v>110</v>
      </c>
      <c r="R52">
        <f>MATCH(P52,A:A,FALSE)</f>
        <v>47</v>
      </c>
    </row>
    <row r="53" spans="1:18" x14ac:dyDescent="0.75">
      <c r="A53" t="s">
        <v>55</v>
      </c>
      <c r="B53">
        <v>18000</v>
      </c>
      <c r="C53">
        <v>512</v>
      </c>
      <c r="D53" t="s">
        <v>50</v>
      </c>
      <c r="E53">
        <v>131072</v>
      </c>
      <c r="G53">
        <f t="shared" si="4"/>
        <v>1E-3</v>
      </c>
      <c r="H53">
        <f t="shared" si="4"/>
        <v>4.0000000000000001E-3</v>
      </c>
      <c r="I53">
        <f t="shared" si="4"/>
        <v>1000</v>
      </c>
      <c r="J53" s="2" t="s">
        <v>128</v>
      </c>
      <c r="K53" s="1">
        <v>5100000000</v>
      </c>
      <c r="P53" t="s">
        <v>111</v>
      </c>
      <c r="R53">
        <f>MATCH(P53,A:A,FALSE)</f>
        <v>48</v>
      </c>
    </row>
    <row r="54" spans="1:18" x14ac:dyDescent="0.75">
      <c r="A54" t="s">
        <v>129</v>
      </c>
      <c r="B54">
        <v>18000</v>
      </c>
      <c r="C54">
        <v>512</v>
      </c>
      <c r="D54" t="s">
        <v>50</v>
      </c>
      <c r="E54">
        <v>131072</v>
      </c>
      <c r="G54">
        <f t="shared" si="4"/>
        <v>1E-3</v>
      </c>
      <c r="H54">
        <f t="shared" si="4"/>
        <v>4.0000000000000001E-3</v>
      </c>
      <c r="I54">
        <f t="shared" si="4"/>
        <v>1000</v>
      </c>
      <c r="J54" s="2" t="s">
        <v>130</v>
      </c>
      <c r="K54" s="1">
        <v>3600000000</v>
      </c>
      <c r="P54" t="s">
        <v>112</v>
      </c>
      <c r="R54">
        <f>MATCH(P54,A:A,FALSE)</f>
        <v>49</v>
      </c>
    </row>
    <row r="55" spans="1:18" x14ac:dyDescent="0.75">
      <c r="A55" t="s">
        <v>81</v>
      </c>
      <c r="B55">
        <v>8000</v>
      </c>
      <c r="C55">
        <v>512</v>
      </c>
      <c r="D55" t="s">
        <v>67</v>
      </c>
      <c r="E55">
        <v>2000</v>
      </c>
      <c r="G55">
        <f t="shared" si="4"/>
        <v>1E-3</v>
      </c>
      <c r="H55">
        <f t="shared" si="4"/>
        <v>4.0000000000000001E-3</v>
      </c>
      <c r="I55">
        <f t="shared" si="4"/>
        <v>1000</v>
      </c>
      <c r="J55" s="2" t="s">
        <v>82</v>
      </c>
      <c r="K55" s="1">
        <v>6740000000</v>
      </c>
      <c r="P55" t="s">
        <v>113</v>
      </c>
      <c r="R55">
        <f>MATCH(P55,A:A,FALSE)</f>
        <v>50</v>
      </c>
    </row>
    <row r="56" spans="1:18" x14ac:dyDescent="0.75">
      <c r="A56" t="s">
        <v>83</v>
      </c>
      <c r="B56">
        <v>8000</v>
      </c>
      <c r="C56">
        <v>512</v>
      </c>
      <c r="D56" t="s">
        <v>67</v>
      </c>
      <c r="E56">
        <v>8000</v>
      </c>
      <c r="G56">
        <f t="shared" si="4"/>
        <v>1E-3</v>
      </c>
      <c r="H56">
        <f t="shared" si="4"/>
        <v>4.0000000000000001E-3</v>
      </c>
      <c r="I56">
        <f t="shared" si="4"/>
        <v>1000</v>
      </c>
      <c r="J56" t="str">
        <f>SUBSTITUTE(A56,"ollama/","https://ollama.com/library/")</f>
        <v>https://ollama.com/library/llama3:8b</v>
      </c>
      <c r="K56" s="1">
        <v>8030000000</v>
      </c>
      <c r="M56" s="2"/>
      <c r="N56" s="2"/>
      <c r="P56" t="s">
        <v>114</v>
      </c>
      <c r="R56">
        <f>MATCH(P56,A:A,FALSE)</f>
        <v>51</v>
      </c>
    </row>
    <row r="57" spans="1:18" x14ac:dyDescent="0.75">
      <c r="A57" t="s">
        <v>84</v>
      </c>
      <c r="B57">
        <v>8000</v>
      </c>
      <c r="C57">
        <v>512</v>
      </c>
      <c r="D57" t="s">
        <v>67</v>
      </c>
      <c r="E57">
        <v>2048</v>
      </c>
      <c r="G57">
        <f t="shared" si="4"/>
        <v>1E-3</v>
      </c>
      <c r="H57">
        <f t="shared" si="4"/>
        <v>4.0000000000000001E-3</v>
      </c>
      <c r="I57">
        <f t="shared" si="4"/>
        <v>1000</v>
      </c>
      <c r="J57" t="str">
        <f t="shared" ref="J57:J60" si="5">SUBSTITUTE(A57,"ollama/","https://ollama.com/library/")</f>
        <v>https://ollama.com/library/llama2:latest</v>
      </c>
      <c r="K57" s="1">
        <v>6740000000</v>
      </c>
      <c r="M57" s="2"/>
      <c r="N57" s="2"/>
      <c r="P57" t="s">
        <v>115</v>
      </c>
      <c r="R57">
        <f>MATCH(P57,A:A,FALSE)</f>
        <v>52</v>
      </c>
    </row>
    <row r="58" spans="1:18" x14ac:dyDescent="0.75">
      <c r="A58" t="s">
        <v>85</v>
      </c>
      <c r="B58">
        <v>8000</v>
      </c>
      <c r="C58">
        <v>512</v>
      </c>
      <c r="D58" t="s">
        <v>67</v>
      </c>
      <c r="E58">
        <v>2048</v>
      </c>
      <c r="G58">
        <f t="shared" si="4"/>
        <v>1E-3</v>
      </c>
      <c r="H58">
        <f t="shared" si="4"/>
        <v>4.0000000000000001E-3</v>
      </c>
      <c r="I58">
        <f t="shared" si="4"/>
        <v>1000</v>
      </c>
      <c r="J58" t="str">
        <f t="shared" si="5"/>
        <v>https://ollama.com/library/codellama:7b-instruct</v>
      </c>
      <c r="K58" s="1">
        <v>6740000000</v>
      </c>
      <c r="M58" s="2"/>
      <c r="N58" s="2"/>
      <c r="P58" t="s">
        <v>143</v>
      </c>
      <c r="R58" t="e">
        <f>MATCH(P58,A:A,FALSE)</f>
        <v>#N/A</v>
      </c>
    </row>
    <row r="59" spans="1:18" x14ac:dyDescent="0.75">
      <c r="A59" t="s">
        <v>86</v>
      </c>
      <c r="B59">
        <v>8000</v>
      </c>
      <c r="C59">
        <v>512</v>
      </c>
      <c r="D59" t="s">
        <v>67</v>
      </c>
      <c r="E59">
        <v>128000</v>
      </c>
      <c r="G59">
        <f t="shared" si="4"/>
        <v>1E-3</v>
      </c>
      <c r="H59">
        <f t="shared" si="4"/>
        <v>4.0000000000000001E-3</v>
      </c>
      <c r="I59">
        <f t="shared" si="4"/>
        <v>1000</v>
      </c>
      <c r="J59" t="str">
        <f t="shared" si="5"/>
        <v>https://ollama.com/library/gemma3:12b-it-qat</v>
      </c>
      <c r="K59" s="1">
        <v>12200000000</v>
      </c>
      <c r="M59" s="2"/>
      <c r="N59" s="2"/>
      <c r="P59" t="s">
        <v>144</v>
      </c>
      <c r="R59" t="e">
        <f>MATCH(P59,A:A,FALSE)</f>
        <v>#N/A</v>
      </c>
    </row>
    <row r="60" spans="1:18" x14ac:dyDescent="0.75">
      <c r="A60" t="s">
        <v>87</v>
      </c>
      <c r="B60">
        <v>8000</v>
      </c>
      <c r="C60">
        <v>512</v>
      </c>
      <c r="D60" t="s">
        <v>67</v>
      </c>
      <c r="E60">
        <v>32768</v>
      </c>
      <c r="G60">
        <f t="shared" si="4"/>
        <v>1E-3</v>
      </c>
      <c r="H60">
        <f t="shared" si="4"/>
        <v>4.0000000000000001E-3</v>
      </c>
      <c r="I60">
        <f t="shared" si="4"/>
        <v>1000</v>
      </c>
      <c r="J60" t="str">
        <f t="shared" si="5"/>
        <v>https://ollama.com/library/qwen3:8b</v>
      </c>
      <c r="K60" s="1">
        <v>8190000000</v>
      </c>
      <c r="M60" s="2"/>
      <c r="N60" s="2"/>
      <c r="P60" t="s">
        <v>145</v>
      </c>
      <c r="R60" t="e">
        <f>MATCH(P60,A:A,FALSE)</f>
        <v>#N/A</v>
      </c>
    </row>
    <row r="61" spans="1:18" x14ac:dyDescent="0.75">
      <c r="A61" t="s">
        <v>88</v>
      </c>
      <c r="B61">
        <v>8000</v>
      </c>
      <c r="C61">
        <v>512</v>
      </c>
      <c r="D61" t="s">
        <v>67</v>
      </c>
      <c r="E61">
        <v>32768</v>
      </c>
      <c r="G61">
        <f t="shared" si="4"/>
        <v>1E-3</v>
      </c>
      <c r="H61">
        <f t="shared" si="4"/>
        <v>4.0000000000000001E-3</v>
      </c>
      <c r="I61">
        <f t="shared" si="4"/>
        <v>1000</v>
      </c>
      <c r="J61" s="2" t="s">
        <v>89</v>
      </c>
      <c r="K61" s="1">
        <v>7620000000</v>
      </c>
      <c r="M61" s="2"/>
      <c r="N61" s="2"/>
      <c r="P61" t="s">
        <v>146</v>
      </c>
      <c r="R61" t="e">
        <f>MATCH(P61,A:A,FALSE)</f>
        <v>#N/A</v>
      </c>
    </row>
    <row r="62" spans="1:18" x14ac:dyDescent="0.75">
      <c r="A62" t="s">
        <v>65</v>
      </c>
      <c r="B62">
        <v>4000</v>
      </c>
      <c r="C62">
        <v>512</v>
      </c>
      <c r="D62" t="s">
        <v>66</v>
      </c>
      <c r="E62">
        <v>4097</v>
      </c>
      <c r="G62">
        <v>2</v>
      </c>
      <c r="H62">
        <v>2</v>
      </c>
      <c r="I62">
        <v>1000000</v>
      </c>
      <c r="J62" s="2" t="s">
        <v>122</v>
      </c>
      <c r="K62" s="1">
        <v>175000000000</v>
      </c>
    </row>
    <row r="63" spans="1:18" x14ac:dyDescent="0.75">
      <c r="A63" t="s">
        <v>1082</v>
      </c>
      <c r="B63">
        <v>96000</v>
      </c>
      <c r="C63">
        <v>512</v>
      </c>
      <c r="D63" t="s">
        <v>50</v>
      </c>
      <c r="E63">
        <v>256000</v>
      </c>
      <c r="G63">
        <v>2</v>
      </c>
      <c r="H63">
        <v>2</v>
      </c>
      <c r="I63">
        <v>1000000</v>
      </c>
      <c r="J63" s="2" t="s">
        <v>133</v>
      </c>
      <c r="K63" s="1">
        <v>450000000000</v>
      </c>
    </row>
    <row r="64" spans="1:18" x14ac:dyDescent="0.75">
      <c r="A64" t="s">
        <v>1080</v>
      </c>
      <c r="B64">
        <v>36000</v>
      </c>
      <c r="C64">
        <v>512</v>
      </c>
      <c r="D64" t="s">
        <v>50</v>
      </c>
      <c r="E64">
        <v>256000</v>
      </c>
      <c r="G64">
        <v>0.8</v>
      </c>
      <c r="H64">
        <v>0.8</v>
      </c>
      <c r="I64">
        <v>1000000</v>
      </c>
      <c r="J64" s="2" t="s">
        <v>135</v>
      </c>
      <c r="K64" s="1">
        <v>30500000000</v>
      </c>
    </row>
    <row r="65" spans="1:11" x14ac:dyDescent="0.75">
      <c r="A65" t="s">
        <v>1083</v>
      </c>
      <c r="B65">
        <v>36000</v>
      </c>
      <c r="C65">
        <v>512</v>
      </c>
      <c r="D65" t="s">
        <v>50</v>
      </c>
      <c r="E65">
        <v>256000</v>
      </c>
      <c r="G65">
        <v>0.2</v>
      </c>
      <c r="H65">
        <v>0.6</v>
      </c>
      <c r="I65">
        <v>1000000</v>
      </c>
      <c r="J65" s="2" t="s">
        <v>134</v>
      </c>
      <c r="K65" s="1">
        <v>235000000000</v>
      </c>
    </row>
    <row r="66" spans="1:11" x14ac:dyDescent="0.75">
      <c r="A66" t="s">
        <v>1079</v>
      </c>
      <c r="B66">
        <v>36000</v>
      </c>
      <c r="C66">
        <v>512</v>
      </c>
      <c r="D66" t="s">
        <v>50</v>
      </c>
      <c r="E66">
        <v>256000</v>
      </c>
      <c r="G66">
        <v>0.1</v>
      </c>
      <c r="H66">
        <v>0.1</v>
      </c>
      <c r="I66">
        <v>1000000</v>
      </c>
      <c r="J66" s="2" t="s">
        <v>137</v>
      </c>
      <c r="K66" s="1">
        <v>4200000000</v>
      </c>
    </row>
    <row r="67" spans="1:11" x14ac:dyDescent="0.75">
      <c r="A67" t="s">
        <v>1121</v>
      </c>
      <c r="B67">
        <v>36000</v>
      </c>
      <c r="C67">
        <v>512</v>
      </c>
      <c r="D67" t="s">
        <v>50</v>
      </c>
      <c r="E67">
        <v>128000</v>
      </c>
      <c r="G67">
        <v>0.8</v>
      </c>
      <c r="H67">
        <v>0.8</v>
      </c>
      <c r="I67">
        <v>1000000</v>
      </c>
      <c r="J67" s="2" t="s">
        <v>138</v>
      </c>
      <c r="K67" s="1">
        <v>32800000000</v>
      </c>
    </row>
    <row r="68" spans="1:11" x14ac:dyDescent="0.75">
      <c r="A68" t="s">
        <v>1122</v>
      </c>
      <c r="B68">
        <v>36000</v>
      </c>
      <c r="C68">
        <v>512</v>
      </c>
      <c r="D68" t="s">
        <v>50</v>
      </c>
      <c r="E68">
        <v>128000</v>
      </c>
      <c r="G68">
        <v>0.3</v>
      </c>
      <c r="H68">
        <v>0.3</v>
      </c>
      <c r="I68">
        <v>1000000</v>
      </c>
      <c r="J68" s="2" t="s">
        <v>139</v>
      </c>
      <c r="K68" s="1">
        <v>7620000000</v>
      </c>
    </row>
    <row r="69" spans="1:11" x14ac:dyDescent="0.75">
      <c r="A69" t="s">
        <v>1123</v>
      </c>
      <c r="B69">
        <v>36000</v>
      </c>
      <c r="C69">
        <v>512</v>
      </c>
      <c r="D69" t="s">
        <v>50</v>
      </c>
      <c r="E69">
        <v>128000</v>
      </c>
      <c r="G69">
        <v>0.3</v>
      </c>
      <c r="H69">
        <v>0.3</v>
      </c>
      <c r="I69">
        <v>1000000</v>
      </c>
      <c r="J69" s="2" t="s">
        <v>140</v>
      </c>
      <c r="K69" s="1">
        <v>3090000000</v>
      </c>
    </row>
    <row r="70" spans="1:11" x14ac:dyDescent="0.75">
      <c r="A70" t="s">
        <v>1124</v>
      </c>
      <c r="B70">
        <v>36000</v>
      </c>
      <c r="C70">
        <v>512</v>
      </c>
      <c r="D70" t="s">
        <v>50</v>
      </c>
      <c r="E70">
        <v>128000</v>
      </c>
      <c r="G70">
        <v>1.2</v>
      </c>
      <c r="H70">
        <v>1.2</v>
      </c>
      <c r="I70">
        <v>1000000</v>
      </c>
      <c r="J70" s="2" t="s">
        <v>141</v>
      </c>
      <c r="K70" s="1">
        <v>72700000000</v>
      </c>
    </row>
    <row r="71" spans="1:11" x14ac:dyDescent="0.75">
      <c r="A71" t="s">
        <v>1081</v>
      </c>
      <c r="B71">
        <v>36000</v>
      </c>
      <c r="C71">
        <v>512</v>
      </c>
      <c r="D71" t="s">
        <v>50</v>
      </c>
      <c r="E71">
        <v>256000</v>
      </c>
      <c r="G71">
        <v>2</v>
      </c>
      <c r="H71">
        <v>2</v>
      </c>
      <c r="I71">
        <v>1000000</v>
      </c>
      <c r="J71" t="s">
        <v>177</v>
      </c>
      <c r="K71" s="1">
        <v>480000000000</v>
      </c>
    </row>
    <row r="72" spans="1:11" x14ac:dyDescent="0.75">
      <c r="A72" t="s">
        <v>1084</v>
      </c>
      <c r="B72">
        <v>36000</v>
      </c>
      <c r="C72">
        <v>512</v>
      </c>
      <c r="D72" t="s">
        <v>50</v>
      </c>
      <c r="E72">
        <v>256000</v>
      </c>
      <c r="G72">
        <v>0.2</v>
      </c>
      <c r="H72">
        <v>0.6</v>
      </c>
      <c r="I72">
        <v>1000000</v>
      </c>
      <c r="J72" t="s">
        <v>299</v>
      </c>
      <c r="K72" s="1">
        <v>235000000000</v>
      </c>
    </row>
    <row r="73" spans="1:11" x14ac:dyDescent="0.75">
      <c r="A73" t="s">
        <v>1085</v>
      </c>
      <c r="B73">
        <v>36000</v>
      </c>
      <c r="C73">
        <v>512</v>
      </c>
      <c r="D73" t="s">
        <v>50</v>
      </c>
      <c r="E73">
        <v>256000</v>
      </c>
      <c r="G73">
        <v>0.8</v>
      </c>
      <c r="H73">
        <v>0.8</v>
      </c>
      <c r="I73">
        <v>1000000</v>
      </c>
      <c r="J73" t="s">
        <v>301</v>
      </c>
      <c r="K73" s="1">
        <v>32000000000</v>
      </c>
    </row>
    <row r="74" spans="1:11" x14ac:dyDescent="0.75">
      <c r="A74" t="s">
        <v>1086</v>
      </c>
      <c r="B74">
        <v>36000</v>
      </c>
      <c r="C74">
        <v>512</v>
      </c>
      <c r="D74" t="s">
        <v>50</v>
      </c>
      <c r="E74">
        <v>256000</v>
      </c>
      <c r="G74">
        <v>0.2</v>
      </c>
      <c r="H74">
        <v>0.2</v>
      </c>
      <c r="I74">
        <v>1000000</v>
      </c>
      <c r="J74" t="s">
        <v>313</v>
      </c>
      <c r="K74" s="1">
        <v>8000000000</v>
      </c>
    </row>
    <row r="75" spans="1:11" x14ac:dyDescent="0.75">
      <c r="A75" t="s">
        <v>1087</v>
      </c>
      <c r="B75">
        <v>36000</v>
      </c>
      <c r="C75">
        <v>512</v>
      </c>
      <c r="D75" t="s">
        <v>50</v>
      </c>
      <c r="E75">
        <v>256000</v>
      </c>
      <c r="G75">
        <v>0.1</v>
      </c>
      <c r="H75">
        <v>0.1</v>
      </c>
      <c r="I75">
        <v>1000000</v>
      </c>
      <c r="J75" t="s">
        <v>319</v>
      </c>
      <c r="K75" s="1">
        <v>4000000000</v>
      </c>
    </row>
    <row r="76" spans="1:11" x14ac:dyDescent="0.75">
      <c r="A76" t="s">
        <v>1088</v>
      </c>
      <c r="B76">
        <v>36000</v>
      </c>
      <c r="C76">
        <v>512</v>
      </c>
      <c r="D76" t="s">
        <v>50</v>
      </c>
      <c r="E76">
        <v>256000</v>
      </c>
      <c r="G76">
        <v>0.8</v>
      </c>
      <c r="H76">
        <v>0.8</v>
      </c>
      <c r="I76">
        <v>1000000</v>
      </c>
      <c r="J76" t="s">
        <v>321</v>
      </c>
      <c r="K76" s="1">
        <v>30000000000</v>
      </c>
    </row>
    <row r="77" spans="1:11" x14ac:dyDescent="0.75">
      <c r="A77" t="s">
        <v>1089</v>
      </c>
      <c r="B77">
        <v>36000</v>
      </c>
      <c r="C77">
        <v>512</v>
      </c>
      <c r="D77" t="s">
        <v>50</v>
      </c>
      <c r="E77">
        <v>256000</v>
      </c>
      <c r="G77">
        <v>0.8</v>
      </c>
      <c r="H77">
        <v>0.8</v>
      </c>
      <c r="I77">
        <v>1000000</v>
      </c>
      <c r="J77" t="s">
        <v>323</v>
      </c>
      <c r="K77" s="1">
        <v>32000000000</v>
      </c>
    </row>
    <row r="78" spans="1:11" x14ac:dyDescent="0.75">
      <c r="A78" t="s">
        <v>1090</v>
      </c>
      <c r="B78">
        <v>36000</v>
      </c>
      <c r="C78">
        <v>512</v>
      </c>
      <c r="D78" t="s">
        <v>50</v>
      </c>
      <c r="E78">
        <v>256000</v>
      </c>
      <c r="G78">
        <v>0.2</v>
      </c>
      <c r="H78">
        <v>0.6</v>
      </c>
      <c r="I78">
        <v>1000000</v>
      </c>
      <c r="J78" t="s">
        <v>325</v>
      </c>
      <c r="K78" s="1">
        <v>14000000000</v>
      </c>
    </row>
    <row r="79" spans="1:11" x14ac:dyDescent="0.75">
      <c r="A79" t="s">
        <v>1091</v>
      </c>
      <c r="B79">
        <v>36000</v>
      </c>
      <c r="C79">
        <v>512</v>
      </c>
      <c r="D79" t="s">
        <v>50</v>
      </c>
      <c r="E79">
        <v>256000</v>
      </c>
      <c r="G79">
        <v>0.2</v>
      </c>
      <c r="H79">
        <v>0.6</v>
      </c>
      <c r="I79">
        <v>1000000</v>
      </c>
      <c r="J79" t="s">
        <v>327</v>
      </c>
      <c r="K79" s="1">
        <v>235000000000</v>
      </c>
    </row>
    <row r="80" spans="1:11" x14ac:dyDescent="0.75">
      <c r="A80" t="s">
        <v>1092</v>
      </c>
      <c r="B80">
        <v>36000</v>
      </c>
      <c r="C80">
        <v>512</v>
      </c>
      <c r="D80" t="s">
        <v>50</v>
      </c>
      <c r="E80">
        <v>256000</v>
      </c>
      <c r="G80">
        <v>1.2</v>
      </c>
      <c r="H80">
        <v>1.2</v>
      </c>
      <c r="I80">
        <v>1000000</v>
      </c>
      <c r="J80" t="s">
        <v>333</v>
      </c>
      <c r="K80" s="1">
        <v>32000000000</v>
      </c>
    </row>
    <row r="81" spans="1:11" x14ac:dyDescent="0.75">
      <c r="A81" t="s">
        <v>1093</v>
      </c>
      <c r="B81">
        <v>18000</v>
      </c>
      <c r="C81">
        <v>512</v>
      </c>
      <c r="D81" t="s">
        <v>50</v>
      </c>
      <c r="E81">
        <v>128000</v>
      </c>
      <c r="G81">
        <v>3</v>
      </c>
      <c r="H81">
        <v>7</v>
      </c>
      <c r="I81">
        <v>1000000</v>
      </c>
      <c r="J81" s="2" t="s">
        <v>352</v>
      </c>
      <c r="K81" s="1">
        <v>8190000000</v>
      </c>
    </row>
    <row r="82" spans="1:11" x14ac:dyDescent="0.75">
      <c r="A82" t="s">
        <v>1094</v>
      </c>
      <c r="B82">
        <v>96000</v>
      </c>
      <c r="C82">
        <v>1024</v>
      </c>
      <c r="D82" t="s">
        <v>50</v>
      </c>
      <c r="E82">
        <v>128000</v>
      </c>
      <c r="G82">
        <v>3</v>
      </c>
      <c r="H82">
        <v>7</v>
      </c>
      <c r="I82">
        <v>1000000</v>
      </c>
      <c r="J82" s="2" t="s">
        <v>354</v>
      </c>
      <c r="K82" s="1">
        <v>685000000000</v>
      </c>
    </row>
    <row r="83" spans="1:11" x14ac:dyDescent="0.75">
      <c r="A83" t="s">
        <v>1095</v>
      </c>
      <c r="B83">
        <v>96000</v>
      </c>
      <c r="C83">
        <v>1024</v>
      </c>
      <c r="D83" t="s">
        <v>50</v>
      </c>
      <c r="E83">
        <v>128000</v>
      </c>
      <c r="G83">
        <v>1.25</v>
      </c>
      <c r="H83">
        <v>1.25</v>
      </c>
      <c r="I83">
        <v>1000000</v>
      </c>
      <c r="J83" t="s">
        <v>356</v>
      </c>
      <c r="K83" s="1">
        <v>671000000000</v>
      </c>
    </row>
    <row r="84" spans="1:11" x14ac:dyDescent="0.75">
      <c r="A84" t="s">
        <v>1096</v>
      </c>
      <c r="B84">
        <v>96000</v>
      </c>
      <c r="C84">
        <v>1024</v>
      </c>
      <c r="D84" t="s">
        <v>50</v>
      </c>
      <c r="E84">
        <v>128000</v>
      </c>
      <c r="G84">
        <v>1.25</v>
      </c>
      <c r="H84">
        <v>1.25</v>
      </c>
      <c r="I84">
        <v>1000000</v>
      </c>
      <c r="J84" s="2" t="s">
        <v>358</v>
      </c>
      <c r="K84" s="1">
        <v>685000000000</v>
      </c>
    </row>
    <row r="85" spans="1:11" x14ac:dyDescent="0.75">
      <c r="A85" t="s">
        <v>123</v>
      </c>
      <c r="B85">
        <v>18000</v>
      </c>
      <c r="C85">
        <v>512</v>
      </c>
      <c r="D85" t="s">
        <v>50</v>
      </c>
      <c r="E85">
        <v>128000</v>
      </c>
      <c r="G85">
        <v>1.6</v>
      </c>
      <c r="H85">
        <v>1.6</v>
      </c>
      <c r="I85">
        <v>1000000</v>
      </c>
      <c r="J85" t="s">
        <v>62</v>
      </c>
      <c r="K85" s="1">
        <v>7000000000</v>
      </c>
    </row>
    <row r="86" spans="1:11" x14ac:dyDescent="0.75">
      <c r="A86" t="s">
        <v>1097</v>
      </c>
      <c r="B86">
        <v>96000</v>
      </c>
      <c r="C86">
        <v>1024</v>
      </c>
      <c r="D86" t="s">
        <v>50</v>
      </c>
      <c r="E86">
        <v>128000</v>
      </c>
      <c r="G86">
        <v>1.6</v>
      </c>
      <c r="H86">
        <v>1.6</v>
      </c>
      <c r="I86">
        <v>1000000</v>
      </c>
      <c r="J86" t="s">
        <v>361</v>
      </c>
      <c r="K86" s="1">
        <v>32000000000</v>
      </c>
    </row>
    <row r="87" spans="1:11" x14ac:dyDescent="0.75">
      <c r="A87" t="s">
        <v>1098</v>
      </c>
      <c r="B87">
        <v>18000</v>
      </c>
      <c r="C87">
        <v>512</v>
      </c>
      <c r="D87" t="s">
        <v>50</v>
      </c>
      <c r="E87">
        <v>128000</v>
      </c>
      <c r="G87">
        <v>0.55000000000000004</v>
      </c>
      <c r="H87">
        <v>2.19</v>
      </c>
      <c r="I87">
        <v>1000000</v>
      </c>
      <c r="J87" t="s">
        <v>363</v>
      </c>
      <c r="K87" s="1">
        <v>8000000000</v>
      </c>
    </row>
    <row r="88" spans="1:11" x14ac:dyDescent="0.75">
      <c r="A88" t="s">
        <v>1099</v>
      </c>
      <c r="B88">
        <v>96000</v>
      </c>
      <c r="C88">
        <v>1024</v>
      </c>
      <c r="D88" t="s">
        <v>50</v>
      </c>
      <c r="E88">
        <v>128000</v>
      </c>
      <c r="G88">
        <v>3</v>
      </c>
      <c r="H88">
        <v>7</v>
      </c>
      <c r="I88">
        <v>1000000</v>
      </c>
      <c r="J88" s="2" t="s">
        <v>365</v>
      </c>
      <c r="K88" s="1">
        <v>685000000000</v>
      </c>
    </row>
    <row r="89" spans="1:11" x14ac:dyDescent="0.75">
      <c r="A89" t="s">
        <v>1100</v>
      </c>
      <c r="B89">
        <v>18000</v>
      </c>
      <c r="C89">
        <v>512</v>
      </c>
      <c r="D89" t="s">
        <v>50</v>
      </c>
      <c r="E89">
        <v>128000</v>
      </c>
      <c r="G89">
        <v>0.18</v>
      </c>
      <c r="H89">
        <v>0.18</v>
      </c>
      <c r="I89">
        <v>1000000</v>
      </c>
      <c r="J89" t="s">
        <v>367</v>
      </c>
      <c r="K89" s="1">
        <v>1500000000</v>
      </c>
    </row>
    <row r="90" spans="1:11" x14ac:dyDescent="0.75">
      <c r="A90" t="s">
        <v>1101</v>
      </c>
      <c r="B90">
        <v>96000</v>
      </c>
      <c r="C90">
        <v>1024</v>
      </c>
      <c r="D90" t="s">
        <v>50</v>
      </c>
      <c r="E90">
        <v>128000</v>
      </c>
      <c r="G90">
        <v>1.6</v>
      </c>
      <c r="H90">
        <v>1.6</v>
      </c>
      <c r="I90">
        <v>1000000</v>
      </c>
      <c r="J90" t="s">
        <v>371</v>
      </c>
      <c r="K90" s="1">
        <v>14000000000</v>
      </c>
    </row>
    <row r="91" spans="1:11" x14ac:dyDescent="0.75">
      <c r="A91" t="s">
        <v>1102</v>
      </c>
      <c r="B91">
        <v>96000</v>
      </c>
      <c r="C91">
        <v>1024</v>
      </c>
      <c r="D91" t="s">
        <v>50</v>
      </c>
      <c r="E91">
        <v>128000</v>
      </c>
      <c r="G91">
        <v>1.25</v>
      </c>
      <c r="H91">
        <v>1.25</v>
      </c>
      <c r="I91">
        <v>1000000</v>
      </c>
      <c r="J91" s="2" t="s">
        <v>375</v>
      </c>
      <c r="K91" s="1">
        <v>685000000000</v>
      </c>
    </row>
    <row r="92" spans="1:11" x14ac:dyDescent="0.75">
      <c r="A92" t="s">
        <v>1103</v>
      </c>
      <c r="B92">
        <v>96000</v>
      </c>
      <c r="C92">
        <v>1024</v>
      </c>
      <c r="D92" t="s">
        <v>50</v>
      </c>
      <c r="E92">
        <v>64000</v>
      </c>
      <c r="G92">
        <v>0.2</v>
      </c>
      <c r="H92">
        <v>1.1000000000000001</v>
      </c>
      <c r="I92">
        <v>1000000</v>
      </c>
      <c r="J92" s="2" t="s">
        <v>454</v>
      </c>
      <c r="K92" s="1">
        <v>108000000000</v>
      </c>
    </row>
    <row r="93" spans="1:11" x14ac:dyDescent="0.75">
      <c r="A93" t="s">
        <v>125</v>
      </c>
      <c r="B93">
        <v>96000</v>
      </c>
      <c r="C93">
        <v>1024</v>
      </c>
      <c r="D93" t="s">
        <v>50</v>
      </c>
      <c r="E93">
        <v>128000</v>
      </c>
      <c r="G93">
        <v>0.2</v>
      </c>
      <c r="H93">
        <v>1.1000000000000001</v>
      </c>
      <c r="I93">
        <v>1000000</v>
      </c>
      <c r="J93" s="2" t="s">
        <v>126</v>
      </c>
      <c r="K93" s="1">
        <v>110000000000</v>
      </c>
    </row>
    <row r="94" spans="1:11" x14ac:dyDescent="0.75">
      <c r="A94" t="s">
        <v>52</v>
      </c>
      <c r="B94">
        <v>96000</v>
      </c>
      <c r="C94">
        <v>1024</v>
      </c>
      <c r="D94" t="s">
        <v>50</v>
      </c>
      <c r="E94">
        <v>128000</v>
      </c>
      <c r="G94">
        <v>0.2</v>
      </c>
      <c r="H94">
        <v>1.1000000000000001</v>
      </c>
      <c r="I94">
        <v>1000000</v>
      </c>
      <c r="J94" s="2" t="s">
        <v>53</v>
      </c>
      <c r="K94" s="1">
        <v>358000000000</v>
      </c>
    </row>
    <row r="95" spans="1:11" x14ac:dyDescent="0.75">
      <c r="A95" t="s">
        <v>1104</v>
      </c>
      <c r="B95">
        <v>96000</v>
      </c>
      <c r="C95">
        <v>1024</v>
      </c>
      <c r="D95" t="s">
        <v>50</v>
      </c>
      <c r="E95">
        <v>128000</v>
      </c>
      <c r="G95">
        <v>0.2</v>
      </c>
      <c r="H95">
        <v>1.1000000000000001</v>
      </c>
      <c r="I95">
        <v>1000000</v>
      </c>
      <c r="J95" t="s">
        <v>458</v>
      </c>
      <c r="K95" s="1">
        <v>110000000000</v>
      </c>
    </row>
    <row r="96" spans="1:11" x14ac:dyDescent="0.75">
      <c r="A96" t="s">
        <v>1105</v>
      </c>
      <c r="B96">
        <v>96000</v>
      </c>
      <c r="C96">
        <v>1024</v>
      </c>
      <c r="D96" t="s">
        <v>50</v>
      </c>
      <c r="E96">
        <v>128000</v>
      </c>
      <c r="G96">
        <v>0.2</v>
      </c>
      <c r="H96">
        <v>1.1000000000000001</v>
      </c>
      <c r="I96">
        <v>1000000</v>
      </c>
      <c r="J96" t="s">
        <v>462</v>
      </c>
      <c r="K96" s="1">
        <v>9000000000</v>
      </c>
    </row>
    <row r="97" spans="1:11" x14ac:dyDescent="0.75">
      <c r="A97" t="s">
        <v>1106</v>
      </c>
      <c r="B97">
        <v>96000</v>
      </c>
      <c r="C97">
        <v>1024</v>
      </c>
      <c r="D97" t="s">
        <v>50</v>
      </c>
      <c r="E97">
        <v>128000</v>
      </c>
      <c r="G97">
        <v>0.2</v>
      </c>
      <c r="H97">
        <v>1.1000000000000001</v>
      </c>
      <c r="I97">
        <v>1000000</v>
      </c>
      <c r="J97" t="s">
        <v>470</v>
      </c>
      <c r="K97" s="1">
        <v>32000000000</v>
      </c>
    </row>
    <row r="98" spans="1:11" x14ac:dyDescent="0.75">
      <c r="A98" t="s">
        <v>1107</v>
      </c>
      <c r="B98">
        <v>18000</v>
      </c>
      <c r="C98">
        <v>512</v>
      </c>
      <c r="D98" t="s">
        <v>50</v>
      </c>
      <c r="E98">
        <v>128000</v>
      </c>
      <c r="G98">
        <v>0.18</v>
      </c>
      <c r="H98">
        <v>0.59</v>
      </c>
      <c r="I98">
        <v>1000000</v>
      </c>
      <c r="J98" s="2" t="s">
        <v>600</v>
      </c>
      <c r="K98" s="1">
        <v>17000000000</v>
      </c>
    </row>
    <row r="99" spans="1:11" x14ac:dyDescent="0.75">
      <c r="A99" t="s">
        <v>1108</v>
      </c>
      <c r="B99">
        <v>18000</v>
      </c>
      <c r="C99">
        <v>512</v>
      </c>
      <c r="D99" t="s">
        <v>50</v>
      </c>
      <c r="E99">
        <v>128000</v>
      </c>
      <c r="G99">
        <v>0.27</v>
      </c>
      <c r="H99">
        <v>0.85</v>
      </c>
      <c r="I99">
        <v>1000000</v>
      </c>
      <c r="J99" t="s">
        <v>606</v>
      </c>
      <c r="K99" s="1">
        <v>17000000000</v>
      </c>
    </row>
    <row r="100" spans="1:11" x14ac:dyDescent="0.75">
      <c r="A100" t="s">
        <v>1109</v>
      </c>
      <c r="B100">
        <v>18000</v>
      </c>
      <c r="C100">
        <v>512</v>
      </c>
      <c r="D100" t="s">
        <v>50</v>
      </c>
      <c r="E100">
        <v>128000</v>
      </c>
      <c r="G100">
        <v>0.27</v>
      </c>
      <c r="H100">
        <v>0.85</v>
      </c>
      <c r="I100">
        <v>1000000</v>
      </c>
      <c r="J100" t="s">
        <v>608</v>
      </c>
      <c r="K100" s="1">
        <v>17000000000</v>
      </c>
    </row>
    <row r="101" spans="1:11" x14ac:dyDescent="0.75">
      <c r="A101" t="s">
        <v>1110</v>
      </c>
      <c r="B101">
        <v>18000</v>
      </c>
      <c r="C101">
        <v>512</v>
      </c>
      <c r="D101" t="s">
        <v>50</v>
      </c>
      <c r="E101">
        <v>128000</v>
      </c>
      <c r="G101">
        <v>0.88</v>
      </c>
      <c r="H101">
        <v>0.88</v>
      </c>
      <c r="I101">
        <v>1000000</v>
      </c>
      <c r="J101" s="2" t="s">
        <v>610</v>
      </c>
      <c r="K101" s="1">
        <v>70000000000</v>
      </c>
    </row>
    <row r="102" spans="1:11" x14ac:dyDescent="0.75">
      <c r="A102" t="s">
        <v>1111</v>
      </c>
      <c r="B102">
        <v>18000</v>
      </c>
      <c r="C102">
        <v>512</v>
      </c>
      <c r="D102" t="s">
        <v>50</v>
      </c>
      <c r="E102">
        <v>128000</v>
      </c>
      <c r="G102">
        <v>0.06</v>
      </c>
      <c r="H102">
        <v>0.06</v>
      </c>
      <c r="I102">
        <v>1000000</v>
      </c>
      <c r="J102" t="s">
        <v>626</v>
      </c>
      <c r="K102" s="1">
        <v>1000000000</v>
      </c>
    </row>
    <row r="103" spans="1:11" x14ac:dyDescent="0.75">
      <c r="A103" t="s">
        <v>1112</v>
      </c>
      <c r="B103">
        <v>18000</v>
      </c>
      <c r="C103">
        <v>512</v>
      </c>
      <c r="D103" t="s">
        <v>50</v>
      </c>
      <c r="E103">
        <v>128000</v>
      </c>
      <c r="G103">
        <v>0.06</v>
      </c>
      <c r="H103">
        <v>0.06</v>
      </c>
      <c r="I103">
        <v>1000000</v>
      </c>
      <c r="J103" t="s">
        <v>628</v>
      </c>
      <c r="K103" s="1">
        <v>3000000000</v>
      </c>
    </row>
    <row r="104" spans="1:11" x14ac:dyDescent="0.75">
      <c r="A104" t="s">
        <v>54</v>
      </c>
      <c r="B104">
        <v>18000</v>
      </c>
      <c r="C104">
        <v>512</v>
      </c>
      <c r="D104" t="s">
        <v>50</v>
      </c>
      <c r="E104">
        <v>128000</v>
      </c>
      <c r="G104">
        <v>0.18</v>
      </c>
      <c r="H104">
        <v>0.18</v>
      </c>
      <c r="I104">
        <v>1000000</v>
      </c>
      <c r="J104" t="s">
        <v>127</v>
      </c>
      <c r="K104" s="1">
        <v>8000000000</v>
      </c>
    </row>
    <row r="105" spans="1:11" x14ac:dyDescent="0.75">
      <c r="A105" t="s">
        <v>1113</v>
      </c>
      <c r="B105">
        <v>18000</v>
      </c>
      <c r="C105">
        <v>512</v>
      </c>
      <c r="D105" t="s">
        <v>50</v>
      </c>
      <c r="E105">
        <v>128000</v>
      </c>
      <c r="G105">
        <v>0.88</v>
      </c>
      <c r="H105">
        <v>0.88</v>
      </c>
      <c r="I105">
        <v>1000000</v>
      </c>
      <c r="J105" t="s">
        <v>639</v>
      </c>
      <c r="K105" s="1">
        <v>70000000000</v>
      </c>
    </row>
    <row r="106" spans="1:11" x14ac:dyDescent="0.75">
      <c r="A106" t="s">
        <v>1114</v>
      </c>
      <c r="B106">
        <v>18000</v>
      </c>
      <c r="C106">
        <v>512</v>
      </c>
      <c r="D106" t="s">
        <v>50</v>
      </c>
      <c r="E106">
        <v>128000</v>
      </c>
      <c r="G106">
        <v>3.5</v>
      </c>
      <c r="H106">
        <v>3.5</v>
      </c>
      <c r="I106">
        <v>1000000</v>
      </c>
      <c r="J106" t="s">
        <v>641</v>
      </c>
      <c r="K106" s="1">
        <v>405000000000</v>
      </c>
    </row>
    <row r="107" spans="1:11" x14ac:dyDescent="0.75">
      <c r="A107" t="s">
        <v>1115</v>
      </c>
      <c r="B107">
        <v>18000</v>
      </c>
      <c r="C107">
        <v>512</v>
      </c>
      <c r="D107" t="s">
        <v>50</v>
      </c>
      <c r="E107">
        <v>128000</v>
      </c>
      <c r="G107">
        <v>0.06</v>
      </c>
      <c r="H107">
        <v>0.06</v>
      </c>
      <c r="I107">
        <v>1000000</v>
      </c>
      <c r="J107" t="s">
        <v>643</v>
      </c>
      <c r="K107" s="1">
        <v>8000000000</v>
      </c>
    </row>
    <row r="108" spans="1:11" x14ac:dyDescent="0.75">
      <c r="A108" t="s">
        <v>1116</v>
      </c>
      <c r="B108">
        <v>18000</v>
      </c>
      <c r="C108">
        <v>512</v>
      </c>
      <c r="D108" t="s">
        <v>50</v>
      </c>
      <c r="E108">
        <v>128000</v>
      </c>
      <c r="G108">
        <v>0.88</v>
      </c>
      <c r="H108">
        <v>0.88</v>
      </c>
      <c r="I108">
        <v>1000000</v>
      </c>
      <c r="J108" t="s">
        <v>645</v>
      </c>
      <c r="K108" s="1">
        <v>70000000000</v>
      </c>
    </row>
    <row r="109" spans="1:11" x14ac:dyDescent="0.75">
      <c r="A109" t="s">
        <v>1117</v>
      </c>
      <c r="B109">
        <v>18000</v>
      </c>
      <c r="C109">
        <v>512</v>
      </c>
      <c r="D109" t="s">
        <v>50</v>
      </c>
      <c r="E109">
        <v>32000</v>
      </c>
      <c r="G109">
        <v>0.8</v>
      </c>
      <c r="H109">
        <v>0.8</v>
      </c>
      <c r="I109">
        <v>1000000</v>
      </c>
      <c r="J109" t="s">
        <v>747</v>
      </c>
      <c r="K109" s="1">
        <v>27000000000</v>
      </c>
    </row>
    <row r="110" spans="1:11" x14ac:dyDescent="0.75">
      <c r="A110" t="s">
        <v>1118</v>
      </c>
      <c r="B110">
        <v>18000</v>
      </c>
      <c r="C110">
        <v>512</v>
      </c>
      <c r="D110" t="s">
        <v>50</v>
      </c>
      <c r="E110">
        <v>4000</v>
      </c>
      <c r="G110">
        <v>0.1</v>
      </c>
      <c r="H110">
        <v>0.1</v>
      </c>
      <c r="I110">
        <v>1000000</v>
      </c>
      <c r="J110" t="s">
        <v>765</v>
      </c>
      <c r="K110" s="1">
        <v>2000000000</v>
      </c>
    </row>
    <row r="111" spans="1:11" x14ac:dyDescent="0.75">
      <c r="A111" t="s">
        <v>1119</v>
      </c>
      <c r="B111">
        <v>18000</v>
      </c>
      <c r="C111">
        <v>512</v>
      </c>
      <c r="D111" t="s">
        <v>50</v>
      </c>
      <c r="E111">
        <v>4000</v>
      </c>
      <c r="G111">
        <v>0.3</v>
      </c>
      <c r="H111">
        <v>0.3</v>
      </c>
      <c r="I111">
        <v>1000000</v>
      </c>
      <c r="J111" t="s">
        <v>773</v>
      </c>
      <c r="K111" s="1">
        <v>9000000000</v>
      </c>
    </row>
    <row r="112" spans="1:11" x14ac:dyDescent="0.75">
      <c r="A112" t="s">
        <v>1120</v>
      </c>
      <c r="B112">
        <v>18000</v>
      </c>
      <c r="C112">
        <v>512</v>
      </c>
      <c r="D112" t="s">
        <v>50</v>
      </c>
      <c r="E112">
        <v>16000</v>
      </c>
      <c r="G112">
        <v>0.3</v>
      </c>
      <c r="H112">
        <v>0.3</v>
      </c>
      <c r="I112">
        <v>1000000</v>
      </c>
      <c r="J112" s="2" t="s">
        <v>859</v>
      </c>
      <c r="K112" s="1">
        <v>14700000000</v>
      </c>
    </row>
    <row r="113" spans="1:11" x14ac:dyDescent="0.75">
      <c r="A113" t="s">
        <v>1128</v>
      </c>
      <c r="B113">
        <v>18000</v>
      </c>
      <c r="C113">
        <v>512</v>
      </c>
      <c r="D113" t="s">
        <v>50</v>
      </c>
      <c r="E113">
        <v>64000</v>
      </c>
      <c r="G113">
        <v>0.1</v>
      </c>
      <c r="H113">
        <v>0.1</v>
      </c>
      <c r="I113">
        <v>1000000</v>
      </c>
      <c r="J113" s="2" t="s">
        <v>1127</v>
      </c>
      <c r="K113" s="1">
        <v>3080000000</v>
      </c>
    </row>
  </sheetData>
  <hyperlinks>
    <hyperlink ref="J16" r:id="rId1" xr:uid="{27E42700-DDE5-4A44-AE1C-97177A3B780B}"/>
    <hyperlink ref="J15" r:id="rId2" xr:uid="{540EAA34-F0DE-42B9-B476-85C6D4B930DF}"/>
    <hyperlink ref="J14" r:id="rId3" xr:uid="{2EB23C01-3125-42EE-B8D6-9F5E5F6BEC47}"/>
    <hyperlink ref="J13" r:id="rId4" xr:uid="{C4986A70-81AC-4CC2-BB3B-8B0DFE146B41}"/>
    <hyperlink ref="J12" r:id="rId5" xr:uid="{EA7A4F4E-D08B-4F8D-B72A-FAA03B7188CB}"/>
    <hyperlink ref="J18" r:id="rId6" location="gemini-1.5-flash" xr:uid="{3977EB94-AFA1-4FBD-AF10-9981231B76B0}"/>
    <hyperlink ref="J19" r:id="rId7" location="gemini-1.5-flash-8b" xr:uid="{D24758C6-FAE3-48A3-AEBC-C1AF1589D66D}"/>
    <hyperlink ref="J21" r:id="rId8" location="gemini-2.0-flash-lite" xr:uid="{08AD9186-4699-492D-A57F-51C5E1BC8F9A}"/>
    <hyperlink ref="J20" r:id="rId9" location="gemini-2.0-flash" xr:uid="{E59CFF28-4A3F-4B4D-87EB-AB3B0D33676D}"/>
    <hyperlink ref="J23" r:id="rId10" location="gemini-2.5-flash-lite" xr:uid="{067C1092-E015-403A-801D-C362B016C034}"/>
    <hyperlink ref="J22" r:id="rId11" location="gemini-2.5-flash" xr:uid="{7CC40D5F-6F1A-45CF-8187-D4A17BA10FE1}"/>
    <hyperlink ref="J24" r:id="rId12" location="gemini-2.5-pro" xr:uid="{E29523D9-37FB-4B06-96E2-E258C31CA021}"/>
    <hyperlink ref="J55" r:id="rId13" xr:uid="{D036AA75-2140-41BC-A424-EEA29EC43824}"/>
    <hyperlink ref="J61" r:id="rId14" xr:uid="{D3F7BDA1-064D-4263-8A54-63EDE92719B6}"/>
    <hyperlink ref="J40" r:id="rId15" xr:uid="{D2D52144-1E8D-490B-8D9B-447E29D8BE27}"/>
    <hyperlink ref="J39" r:id="rId16" xr:uid="{F8C30D60-F8C4-41B4-88D3-F7AC44981D07}"/>
    <hyperlink ref="J41" r:id="rId17" xr:uid="{167676BF-A852-4530-B1BB-12EB7B960615}"/>
    <hyperlink ref="J38" r:id="rId18" xr:uid="{2BE03867-2C3F-4289-8939-0E698F557653}"/>
    <hyperlink ref="J43" r:id="rId19" xr:uid="{B14A712C-D426-49C3-A90B-B1F95CFF14E8}"/>
    <hyperlink ref="J44" r:id="rId20" xr:uid="{D91C87F8-2335-456B-9CBD-91E612C82BF0}"/>
    <hyperlink ref="J45" r:id="rId21" xr:uid="{419A485D-898D-4DA6-B863-80D4AFC287B1}"/>
    <hyperlink ref="J47" r:id="rId22" xr:uid="{B61B03F6-22E2-4264-B45F-208DEDC0DDEA}"/>
    <hyperlink ref="J62" r:id="rId23" xr:uid="{0C94770B-8D34-4F3D-A448-37FFDB6A31DD}"/>
    <hyperlink ref="J53" r:id="rId24" xr:uid="{CCC25FDE-B036-44FB-91C1-74ABE827851A}"/>
    <hyperlink ref="J54" r:id="rId25" xr:uid="{9622510A-9835-4B78-B62F-3AB1077FE12E}"/>
    <hyperlink ref="J2" r:id="rId26" xr:uid="{91E0AB8E-0AEA-46F6-8E43-AB0191BFE9C9}"/>
    <hyperlink ref="J63" r:id="rId27" xr:uid="{A773035A-D40A-416C-A880-B17CD4A70389}"/>
    <hyperlink ref="J65" r:id="rId28" xr:uid="{28110BE3-DD1A-44B8-A120-829EEB0AB09E}"/>
    <hyperlink ref="J64" r:id="rId29" xr:uid="{8821CCD3-E13B-4BD5-A65D-069F8254DC51}"/>
    <hyperlink ref="J66" r:id="rId30" xr:uid="{940327B8-10F5-4392-89DA-7E7D76EBDE7D}"/>
    <hyperlink ref="J67" r:id="rId31" xr:uid="{AB505FE7-8D6F-47FC-9EAF-9A3BC2A38C5B}"/>
    <hyperlink ref="J68" r:id="rId32" xr:uid="{3DF51871-345D-4789-B4FE-10293AFB3092}"/>
    <hyperlink ref="J69" r:id="rId33" xr:uid="{0683E080-9960-4629-8F7A-52C676924CEB}"/>
    <hyperlink ref="J70" r:id="rId34" xr:uid="{054DEEDD-8F5F-4052-BE50-DCB5A3B76EFA}"/>
    <hyperlink ref="J94" r:id="rId35" xr:uid="{851C413D-F718-45EF-BD19-F3918ACE04B7}"/>
    <hyperlink ref="J93" r:id="rId36" xr:uid="{55C5A3D4-B59C-4BA2-8B14-CD6FE062A322}"/>
    <hyperlink ref="J112" r:id="rId37" xr:uid="{25FED81E-B028-4DE8-837D-3E2DE3D9FE43}"/>
    <hyperlink ref="J98" r:id="rId38" xr:uid="{06D08BE4-14D8-4E8C-94FA-5E6229EE5C2F}"/>
    <hyperlink ref="J101" r:id="rId39" xr:uid="{921E06F0-0ACD-45F1-8DF5-E7E9E1738BE1}"/>
    <hyperlink ref="J81" r:id="rId40" xr:uid="{0A53FF8C-2188-4F77-BA96-7DD32A547D7A}"/>
    <hyperlink ref="J82" r:id="rId41" xr:uid="{9E9BDE21-867D-4508-91D0-8F19ED6F316A}"/>
    <hyperlink ref="J84" r:id="rId42" xr:uid="{7FE8CFEB-C1B4-4EB1-B7AE-44EBE5B3E304}"/>
    <hyperlink ref="J88" r:id="rId43" xr:uid="{74CECF3F-1184-464F-BB23-413C225688DE}"/>
    <hyperlink ref="J91" r:id="rId44" xr:uid="{9C7A48A5-3562-401F-8E85-92B4228344BD}"/>
    <hyperlink ref="J92" r:id="rId45" xr:uid="{DE7B0EFE-B5E4-4178-9385-50672A965BA0}"/>
    <hyperlink ref="J113" r:id="rId46" xr:uid="{DF382B1E-92F2-4B73-BBAF-6CC0CBD6F0CE}"/>
  </hyperlinks>
  <pageMargins left="0.7" right="0.7" top="0.75" bottom="0.75" header="0.3" footer="0.3"/>
  <pageSetup orientation="portrait" horizontalDpi="300" verticalDpi="300"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80AE-008B-4747-AD7C-E84BD956E353}">
  <sheetPr filterMode="1"/>
  <dimension ref="A1:I466"/>
  <sheetViews>
    <sheetView topLeftCell="B154" zoomScale="85" zoomScaleNormal="85" workbookViewId="0">
      <selection activeCell="C466" sqref="C466:D466"/>
    </sheetView>
  </sheetViews>
  <sheetFormatPr defaultRowHeight="14.75" x14ac:dyDescent="0.75"/>
  <cols>
    <col min="2" max="2" width="39.76953125" customWidth="1"/>
    <col min="3" max="3" width="58" customWidth="1"/>
    <col min="4" max="4" width="20.7265625" style="4" customWidth="1"/>
    <col min="5" max="5" width="15.86328125" customWidth="1"/>
    <col min="9" max="9" width="21.36328125" customWidth="1"/>
  </cols>
  <sheetData>
    <row r="1" spans="1:9" x14ac:dyDescent="0.75">
      <c r="A1" t="s">
        <v>148</v>
      </c>
      <c r="B1" t="s">
        <v>0</v>
      </c>
      <c r="C1" t="s">
        <v>149</v>
      </c>
      <c r="D1" s="4" t="s">
        <v>150</v>
      </c>
      <c r="E1" t="s">
        <v>151</v>
      </c>
      <c r="F1" t="s">
        <v>152</v>
      </c>
      <c r="G1" t="s">
        <v>153</v>
      </c>
      <c r="H1" t="s">
        <v>1077</v>
      </c>
      <c r="I1" t="s">
        <v>0</v>
      </c>
    </row>
    <row r="2" spans="1:9" hidden="1" x14ac:dyDescent="0.75">
      <c r="A2" t="s">
        <v>154</v>
      </c>
      <c r="B2" t="s">
        <v>155</v>
      </c>
      <c r="C2" t="s">
        <v>156</v>
      </c>
      <c r="D2" s="4">
        <v>4000000000</v>
      </c>
      <c r="E2" s="5">
        <v>45875</v>
      </c>
      <c r="F2">
        <v>49724</v>
      </c>
      <c r="G2" t="b">
        <v>0</v>
      </c>
      <c r="I2" t="str">
        <f>"huggingface/"&amp;A2&amp;"/"&amp;B2</f>
        <v>huggingface/Qwen/Qwen3-4B-Thinking-2507-FP8</v>
      </c>
    </row>
    <row r="3" spans="1:9" hidden="1" x14ac:dyDescent="0.75">
      <c r="A3" t="s">
        <v>154</v>
      </c>
      <c r="B3" t="s">
        <v>157</v>
      </c>
      <c r="C3" t="s">
        <v>158</v>
      </c>
      <c r="D3" s="4">
        <v>4000000000</v>
      </c>
      <c r="E3" s="5">
        <v>45875</v>
      </c>
      <c r="F3">
        <v>5219</v>
      </c>
      <c r="G3" t="b">
        <v>0</v>
      </c>
      <c r="I3" t="str">
        <f t="shared" ref="I3:I66" si="0">"huggingface/"&amp;A3&amp;"/"&amp;B3</f>
        <v>huggingface/Qwen/Qwen3-4B-Instruct-2507-FP8</v>
      </c>
    </row>
    <row r="4" spans="1:9" x14ac:dyDescent="0.75">
      <c r="A4" t="s">
        <v>154</v>
      </c>
      <c r="B4" t="s">
        <v>159</v>
      </c>
      <c r="C4" t="s">
        <v>137</v>
      </c>
      <c r="D4" s="4">
        <v>4000000000</v>
      </c>
      <c r="E4" s="5">
        <v>45874</v>
      </c>
      <c r="F4">
        <v>140077</v>
      </c>
      <c r="G4" t="b">
        <v>1</v>
      </c>
      <c r="I4" t="str">
        <f t="shared" si="0"/>
        <v>huggingface/Qwen/Qwen3-4B-Instruct-2507</v>
      </c>
    </row>
    <row r="5" spans="1:9" hidden="1" x14ac:dyDescent="0.75">
      <c r="A5" t="s">
        <v>154</v>
      </c>
      <c r="B5" t="s">
        <v>160</v>
      </c>
      <c r="C5" t="s">
        <v>161</v>
      </c>
      <c r="D5" s="4">
        <v>4000000000</v>
      </c>
      <c r="E5" s="5">
        <v>45874</v>
      </c>
      <c r="F5">
        <v>40331</v>
      </c>
      <c r="G5" t="b">
        <v>1</v>
      </c>
      <c r="H5" t="s">
        <v>1078</v>
      </c>
      <c r="I5" t="str">
        <f t="shared" si="0"/>
        <v>huggingface/Qwen/Qwen3-4B-Thinking-2507</v>
      </c>
    </row>
    <row r="6" spans="1:9" x14ac:dyDescent="0.75">
      <c r="A6" t="s">
        <v>154</v>
      </c>
      <c r="B6" t="s">
        <v>162</v>
      </c>
      <c r="C6" t="s">
        <v>135</v>
      </c>
      <c r="D6" s="4">
        <v>30000000000</v>
      </c>
      <c r="E6" s="5">
        <v>45869</v>
      </c>
      <c r="F6">
        <v>202919</v>
      </c>
      <c r="G6" t="b">
        <v>1</v>
      </c>
      <c r="I6" t="str">
        <f t="shared" si="0"/>
        <v>huggingface/Qwen/Qwen3-Coder-30B-A3B-Instruct</v>
      </c>
    </row>
    <row r="7" spans="1:9" hidden="1" x14ac:dyDescent="0.75">
      <c r="A7" t="s">
        <v>154</v>
      </c>
      <c r="B7" t="s">
        <v>163</v>
      </c>
      <c r="C7" t="s">
        <v>164</v>
      </c>
      <c r="D7" s="4">
        <v>30000000000</v>
      </c>
      <c r="E7" s="5">
        <v>45869</v>
      </c>
      <c r="F7">
        <v>38028</v>
      </c>
      <c r="G7" t="b">
        <v>0</v>
      </c>
      <c r="I7" t="str">
        <f t="shared" si="0"/>
        <v>huggingface/Qwen/Qwen3-Coder-30B-A3B-Instruct-FP8</v>
      </c>
    </row>
    <row r="8" spans="1:9" hidden="1" x14ac:dyDescent="0.75">
      <c r="A8" t="s">
        <v>154</v>
      </c>
      <c r="B8" t="s">
        <v>165</v>
      </c>
      <c r="C8" t="s">
        <v>166</v>
      </c>
      <c r="D8" s="4">
        <v>30000000000</v>
      </c>
      <c r="E8" s="5">
        <v>45867</v>
      </c>
      <c r="F8">
        <v>106619</v>
      </c>
      <c r="G8" t="b">
        <v>0</v>
      </c>
      <c r="I8" t="str">
        <f t="shared" si="0"/>
        <v>huggingface/Qwen/Qwen3-30B-A3B-Thinking-2507</v>
      </c>
    </row>
    <row r="9" spans="1:9" hidden="1" x14ac:dyDescent="0.75">
      <c r="A9" t="s">
        <v>154</v>
      </c>
      <c r="B9" t="s">
        <v>167</v>
      </c>
      <c r="C9" t="s">
        <v>168</v>
      </c>
      <c r="D9" s="4">
        <v>30000000000</v>
      </c>
      <c r="E9" s="5">
        <v>45867</v>
      </c>
      <c r="F9">
        <v>13418</v>
      </c>
      <c r="G9" t="b">
        <v>0</v>
      </c>
      <c r="I9" t="str">
        <f t="shared" si="0"/>
        <v>huggingface/Qwen/Qwen3-30B-A3B-Thinking-2507-FP8</v>
      </c>
    </row>
    <row r="10" spans="1:9" hidden="1" x14ac:dyDescent="0.75">
      <c r="A10" t="s">
        <v>154</v>
      </c>
      <c r="B10" t="s">
        <v>169</v>
      </c>
      <c r="C10" t="s">
        <v>136</v>
      </c>
      <c r="D10" s="4">
        <v>30000000000</v>
      </c>
      <c r="E10" s="5">
        <v>45866</v>
      </c>
      <c r="F10">
        <v>446351</v>
      </c>
      <c r="G10" t="b">
        <v>0</v>
      </c>
      <c r="I10" t="str">
        <f t="shared" si="0"/>
        <v>huggingface/Qwen/Qwen3-30B-A3B-Instruct-2507</v>
      </c>
    </row>
    <row r="11" spans="1:9" hidden="1" x14ac:dyDescent="0.75">
      <c r="A11" t="s">
        <v>154</v>
      </c>
      <c r="B11" t="s">
        <v>170</v>
      </c>
      <c r="C11" t="s">
        <v>171</v>
      </c>
      <c r="D11" s="4">
        <v>30000000000</v>
      </c>
      <c r="E11" s="5">
        <v>45866</v>
      </c>
      <c r="F11">
        <v>74776</v>
      </c>
      <c r="G11" t="b">
        <v>0</v>
      </c>
      <c r="I11" t="str">
        <f t="shared" si="0"/>
        <v>huggingface/Qwen/Qwen3-30B-A3B-Instruct-2507-FP8</v>
      </c>
    </row>
    <row r="12" spans="1:9" hidden="1" x14ac:dyDescent="0.75">
      <c r="A12" t="s">
        <v>154</v>
      </c>
      <c r="B12" t="s">
        <v>172</v>
      </c>
      <c r="C12" t="s">
        <v>173</v>
      </c>
      <c r="D12" s="4">
        <v>235000000000</v>
      </c>
      <c r="E12" s="5">
        <v>45863</v>
      </c>
      <c r="F12">
        <v>26654</v>
      </c>
      <c r="G12" t="b">
        <v>1</v>
      </c>
      <c r="H12" t="s">
        <v>1078</v>
      </c>
      <c r="I12" t="str">
        <f t="shared" si="0"/>
        <v>huggingface/Qwen/Qwen3-235B-A22B-Thinking-2507</v>
      </c>
    </row>
    <row r="13" spans="1:9" hidden="1" x14ac:dyDescent="0.75">
      <c r="A13" t="s">
        <v>154</v>
      </c>
      <c r="B13" t="s">
        <v>174</v>
      </c>
      <c r="C13" t="s">
        <v>175</v>
      </c>
      <c r="D13" s="4">
        <v>235000000000</v>
      </c>
      <c r="E13" s="5">
        <v>45863</v>
      </c>
      <c r="F13">
        <v>13969</v>
      </c>
      <c r="G13" t="b">
        <v>0</v>
      </c>
      <c r="I13" t="str">
        <f t="shared" si="0"/>
        <v>huggingface/Qwen/Qwen3-235B-A22B-Thinking-2507-FP8</v>
      </c>
    </row>
    <row r="14" spans="1:9" x14ac:dyDescent="0.75">
      <c r="A14" t="s">
        <v>154</v>
      </c>
      <c r="B14" t="s">
        <v>176</v>
      </c>
      <c r="C14" t="s">
        <v>177</v>
      </c>
      <c r="D14" s="4">
        <v>480000000000</v>
      </c>
      <c r="E14" s="5">
        <v>45860</v>
      </c>
      <c r="F14">
        <v>112368</v>
      </c>
      <c r="G14" t="b">
        <v>1</v>
      </c>
      <c r="I14" t="str">
        <f t="shared" si="0"/>
        <v>huggingface/Qwen/Qwen3-Coder-480B-A35B-Instruct-FP8</v>
      </c>
    </row>
    <row r="15" spans="1:9" x14ac:dyDescent="0.75">
      <c r="A15" t="s">
        <v>154</v>
      </c>
      <c r="B15" t="s">
        <v>178</v>
      </c>
      <c r="C15" t="s">
        <v>133</v>
      </c>
      <c r="D15" s="4">
        <v>480000000000</v>
      </c>
      <c r="E15" s="5">
        <v>45860</v>
      </c>
      <c r="F15">
        <v>59794</v>
      </c>
      <c r="G15" t="b">
        <v>1</v>
      </c>
      <c r="I15" t="str">
        <f t="shared" si="0"/>
        <v>huggingface/Qwen/Qwen3-Coder-480B-A35B-Instruct</v>
      </c>
    </row>
    <row r="16" spans="1:9" hidden="1" x14ac:dyDescent="0.75">
      <c r="A16" t="s">
        <v>154</v>
      </c>
      <c r="B16" t="s">
        <v>179</v>
      </c>
      <c r="C16" t="s">
        <v>180</v>
      </c>
      <c r="D16" s="4">
        <v>235000000000</v>
      </c>
      <c r="E16" s="5">
        <v>45859</v>
      </c>
      <c r="F16">
        <v>78554</v>
      </c>
      <c r="G16" t="b">
        <v>0</v>
      </c>
      <c r="I16" t="str">
        <f t="shared" si="0"/>
        <v>huggingface/Qwen/Qwen3-235B-A22B-Instruct-2507-FP8</v>
      </c>
    </row>
    <row r="17" spans="1:9" x14ac:dyDescent="0.75">
      <c r="A17" t="s">
        <v>154</v>
      </c>
      <c r="B17" t="s">
        <v>181</v>
      </c>
      <c r="C17" t="s">
        <v>134</v>
      </c>
      <c r="D17" s="4">
        <v>235000000000</v>
      </c>
      <c r="E17" s="5">
        <v>45859</v>
      </c>
      <c r="F17">
        <v>71540</v>
      </c>
      <c r="G17" t="b">
        <v>1</v>
      </c>
      <c r="I17" t="str">
        <f t="shared" si="0"/>
        <v>huggingface/Qwen/Qwen3-235B-A22B-Instruct-2507</v>
      </c>
    </row>
    <row r="18" spans="1:9" hidden="1" x14ac:dyDescent="0.75">
      <c r="A18" t="s">
        <v>154</v>
      </c>
      <c r="B18" t="s">
        <v>182</v>
      </c>
      <c r="C18" t="s">
        <v>183</v>
      </c>
      <c r="D18" s="4">
        <v>14000000000</v>
      </c>
      <c r="E18" s="5">
        <v>45820</v>
      </c>
      <c r="F18">
        <v>115</v>
      </c>
      <c r="G18" t="b">
        <v>0</v>
      </c>
      <c r="I18" t="str">
        <f t="shared" si="0"/>
        <v>huggingface/Qwen/Qwen3-14B-MLX-bf16</v>
      </c>
    </row>
    <row r="19" spans="1:9" hidden="1" x14ac:dyDescent="0.75">
      <c r="A19" t="s">
        <v>154</v>
      </c>
      <c r="B19" t="s">
        <v>184</v>
      </c>
      <c r="C19" t="s">
        <v>185</v>
      </c>
      <c r="D19" s="4">
        <v>235000000000</v>
      </c>
      <c r="E19" s="5">
        <v>45819</v>
      </c>
      <c r="F19">
        <v>1203</v>
      </c>
      <c r="G19" t="b">
        <v>0</v>
      </c>
      <c r="I19" t="str">
        <f t="shared" si="0"/>
        <v>huggingface/Qwen/Qwen3-235B-A22B-MLX-4bit</v>
      </c>
    </row>
    <row r="20" spans="1:9" hidden="1" x14ac:dyDescent="0.75">
      <c r="A20" t="s">
        <v>154</v>
      </c>
      <c r="B20" t="s">
        <v>186</v>
      </c>
      <c r="C20" t="s">
        <v>187</v>
      </c>
      <c r="D20" s="4">
        <v>32000000000</v>
      </c>
      <c r="E20" s="5">
        <v>45819</v>
      </c>
      <c r="F20">
        <v>502</v>
      </c>
      <c r="G20" t="b">
        <v>0</v>
      </c>
      <c r="I20" t="str">
        <f t="shared" si="0"/>
        <v>huggingface/Qwen/Qwen3-32B-MLX-bf16</v>
      </c>
    </row>
    <row r="21" spans="1:9" hidden="1" x14ac:dyDescent="0.75">
      <c r="A21" t="s">
        <v>154</v>
      </c>
      <c r="B21" t="s">
        <v>188</v>
      </c>
      <c r="C21" t="s">
        <v>189</v>
      </c>
      <c r="D21" s="4">
        <v>30000000000</v>
      </c>
      <c r="E21" s="5">
        <v>45819</v>
      </c>
      <c r="F21">
        <v>348</v>
      </c>
      <c r="G21" t="b">
        <v>0</v>
      </c>
      <c r="I21" t="str">
        <f t="shared" si="0"/>
        <v>huggingface/Qwen/Qwen3-30B-A3B-MLX-4bit</v>
      </c>
    </row>
    <row r="22" spans="1:9" hidden="1" x14ac:dyDescent="0.75">
      <c r="A22" t="s">
        <v>154</v>
      </c>
      <c r="B22" t="s">
        <v>190</v>
      </c>
      <c r="C22" t="s">
        <v>191</v>
      </c>
      <c r="D22" s="4">
        <v>32000000000</v>
      </c>
      <c r="E22" s="5">
        <v>45819</v>
      </c>
      <c r="F22">
        <v>279</v>
      </c>
      <c r="G22" t="b">
        <v>0</v>
      </c>
      <c r="I22" t="str">
        <f t="shared" si="0"/>
        <v>huggingface/Qwen/Qwen3-32B-MLX-8bit</v>
      </c>
    </row>
    <row r="23" spans="1:9" hidden="1" x14ac:dyDescent="0.75">
      <c r="A23" t="s">
        <v>154</v>
      </c>
      <c r="B23" t="s">
        <v>192</v>
      </c>
      <c r="C23" t="s">
        <v>193</v>
      </c>
      <c r="D23" s="4">
        <v>32000000000</v>
      </c>
      <c r="E23" s="5">
        <v>45819</v>
      </c>
      <c r="F23">
        <v>244</v>
      </c>
      <c r="G23" t="b">
        <v>0</v>
      </c>
      <c r="I23" t="str">
        <f t="shared" si="0"/>
        <v>huggingface/Qwen/Qwen3-32B-MLX-4bit</v>
      </c>
    </row>
    <row r="24" spans="1:9" hidden="1" x14ac:dyDescent="0.75">
      <c r="A24" t="s">
        <v>154</v>
      </c>
      <c r="B24" t="s">
        <v>194</v>
      </c>
      <c r="C24" t="s">
        <v>195</v>
      </c>
      <c r="D24" s="4">
        <v>30000000000</v>
      </c>
      <c r="E24" s="5">
        <v>45819</v>
      </c>
      <c r="F24">
        <v>235</v>
      </c>
      <c r="G24" t="b">
        <v>0</v>
      </c>
      <c r="I24" t="str">
        <f t="shared" si="0"/>
        <v>huggingface/Qwen/Qwen3-30B-A3B-MLX-8bit</v>
      </c>
    </row>
    <row r="25" spans="1:9" hidden="1" x14ac:dyDescent="0.75">
      <c r="A25" t="s">
        <v>154</v>
      </c>
      <c r="B25" t="s">
        <v>196</v>
      </c>
      <c r="C25" t="s">
        <v>197</v>
      </c>
      <c r="D25" s="4">
        <v>30000000000</v>
      </c>
      <c r="E25" s="5">
        <v>45819</v>
      </c>
      <c r="F25">
        <v>219</v>
      </c>
      <c r="G25" t="b">
        <v>0</v>
      </c>
      <c r="I25" t="str">
        <f t="shared" si="0"/>
        <v>huggingface/Qwen/Qwen3-30B-A3B-MLX-bf16</v>
      </c>
    </row>
    <row r="26" spans="1:9" hidden="1" x14ac:dyDescent="0.75">
      <c r="A26" t="s">
        <v>154</v>
      </c>
      <c r="B26" t="s">
        <v>198</v>
      </c>
      <c r="C26" t="s">
        <v>199</v>
      </c>
      <c r="D26" s="4">
        <v>235000000000</v>
      </c>
      <c r="E26" s="5">
        <v>45819</v>
      </c>
      <c r="F26">
        <v>150</v>
      </c>
      <c r="G26" t="b">
        <v>0</v>
      </c>
      <c r="I26" t="str">
        <f t="shared" si="0"/>
        <v>huggingface/Qwen/Qwen3-235B-A22B-MLX-bf16</v>
      </c>
    </row>
    <row r="27" spans="1:9" hidden="1" x14ac:dyDescent="0.75">
      <c r="A27" t="s">
        <v>154</v>
      </c>
      <c r="B27" t="s">
        <v>200</v>
      </c>
      <c r="C27" t="s">
        <v>201</v>
      </c>
      <c r="D27" s="4">
        <v>235000000000</v>
      </c>
      <c r="E27" s="5">
        <v>45819</v>
      </c>
      <c r="F27">
        <v>136</v>
      </c>
      <c r="G27" t="b">
        <v>0</v>
      </c>
      <c r="I27" t="str">
        <f t="shared" si="0"/>
        <v>huggingface/Qwen/Qwen3-235B-A22B-MLX-8bit</v>
      </c>
    </row>
    <row r="28" spans="1:9" hidden="1" x14ac:dyDescent="0.75">
      <c r="A28" t="s">
        <v>154</v>
      </c>
      <c r="B28" t="s">
        <v>202</v>
      </c>
      <c r="C28" t="s">
        <v>203</v>
      </c>
      <c r="D28" s="4">
        <v>32000000000</v>
      </c>
      <c r="E28" s="5">
        <v>45819</v>
      </c>
      <c r="F28">
        <v>88</v>
      </c>
      <c r="G28" t="b">
        <v>0</v>
      </c>
      <c r="I28" t="str">
        <f t="shared" si="0"/>
        <v>huggingface/Qwen/Qwen3-32B-MLX-6bit</v>
      </c>
    </row>
    <row r="29" spans="1:9" hidden="1" x14ac:dyDescent="0.75">
      <c r="A29" t="s">
        <v>154</v>
      </c>
      <c r="B29" t="s">
        <v>204</v>
      </c>
      <c r="C29" t="s">
        <v>205</v>
      </c>
      <c r="D29" s="4">
        <v>30000000000</v>
      </c>
      <c r="E29" s="5">
        <v>45819</v>
      </c>
      <c r="F29">
        <v>84</v>
      </c>
      <c r="G29" t="b">
        <v>0</v>
      </c>
      <c r="I29" t="str">
        <f t="shared" si="0"/>
        <v>huggingface/Qwen/Qwen3-30B-A3B-MLX-6bit</v>
      </c>
    </row>
    <row r="30" spans="1:9" hidden="1" x14ac:dyDescent="0.75">
      <c r="A30" t="s">
        <v>154</v>
      </c>
      <c r="B30" t="s">
        <v>206</v>
      </c>
      <c r="C30" t="s">
        <v>207</v>
      </c>
      <c r="D30" s="4">
        <v>235000000000</v>
      </c>
      <c r="E30" s="5">
        <v>45819</v>
      </c>
      <c r="F30">
        <v>70</v>
      </c>
      <c r="G30" t="b">
        <v>0</v>
      </c>
      <c r="I30" t="str">
        <f t="shared" si="0"/>
        <v>huggingface/Qwen/Qwen3-235B-A22B-MLX-6bit</v>
      </c>
    </row>
    <row r="31" spans="1:9" hidden="1" x14ac:dyDescent="0.75">
      <c r="A31" t="s">
        <v>154</v>
      </c>
      <c r="B31" t="s">
        <v>208</v>
      </c>
      <c r="C31" t="s">
        <v>209</v>
      </c>
      <c r="D31" s="4">
        <v>4000000000</v>
      </c>
      <c r="E31" s="5">
        <v>45813</v>
      </c>
      <c r="F31">
        <v>79953</v>
      </c>
      <c r="G31" t="b">
        <v>0</v>
      </c>
      <c r="I31" t="str">
        <f t="shared" si="0"/>
        <v>huggingface/Qwen/Qwen3-Embedding-4B-GGUF</v>
      </c>
    </row>
    <row r="32" spans="1:9" hidden="1" x14ac:dyDescent="0.75">
      <c r="A32" t="s">
        <v>154</v>
      </c>
      <c r="B32" t="s">
        <v>210</v>
      </c>
      <c r="C32" t="s">
        <v>211</v>
      </c>
      <c r="D32" s="4">
        <v>600000000</v>
      </c>
      <c r="E32" s="5">
        <v>45813</v>
      </c>
      <c r="F32">
        <v>29250</v>
      </c>
      <c r="G32" t="b">
        <v>0</v>
      </c>
      <c r="I32" t="str">
        <f t="shared" si="0"/>
        <v>huggingface/Qwen/Qwen3-Embedding-0.6B-GGUF</v>
      </c>
    </row>
    <row r="33" spans="1:9" hidden="1" x14ac:dyDescent="0.75">
      <c r="A33" t="s">
        <v>154</v>
      </c>
      <c r="B33" t="s">
        <v>212</v>
      </c>
      <c r="C33" t="s">
        <v>213</v>
      </c>
      <c r="D33" s="4">
        <v>8000000000</v>
      </c>
      <c r="E33" s="5">
        <v>45813</v>
      </c>
      <c r="F33">
        <v>13690</v>
      </c>
      <c r="G33" t="b">
        <v>0</v>
      </c>
      <c r="I33" t="str">
        <f t="shared" si="0"/>
        <v>huggingface/Qwen/Qwen3-Embedding-8B-GGUF</v>
      </c>
    </row>
    <row r="34" spans="1:9" hidden="1" x14ac:dyDescent="0.75">
      <c r="A34" t="s">
        <v>154</v>
      </c>
      <c r="B34" t="s">
        <v>214</v>
      </c>
      <c r="C34" t="s">
        <v>215</v>
      </c>
      <c r="D34" s="4">
        <v>8000000000</v>
      </c>
      <c r="E34" s="5">
        <v>45800</v>
      </c>
      <c r="F34">
        <v>2130</v>
      </c>
      <c r="G34" t="b">
        <v>0</v>
      </c>
      <c r="I34" t="str">
        <f t="shared" si="0"/>
        <v>huggingface/Qwen/Qwen3-8B-MLX-bf16</v>
      </c>
    </row>
    <row r="35" spans="1:9" hidden="1" x14ac:dyDescent="0.75">
      <c r="A35" t="s">
        <v>154</v>
      </c>
      <c r="B35" t="s">
        <v>216</v>
      </c>
      <c r="C35" t="s">
        <v>217</v>
      </c>
      <c r="D35" s="4">
        <v>600000000</v>
      </c>
      <c r="E35" s="5">
        <v>45800</v>
      </c>
      <c r="F35">
        <v>1665</v>
      </c>
      <c r="G35" t="b">
        <v>0</v>
      </c>
      <c r="I35" t="str">
        <f t="shared" si="0"/>
        <v>huggingface/Qwen/Qwen3-0.6B-MLX-4bit</v>
      </c>
    </row>
    <row r="36" spans="1:9" hidden="1" x14ac:dyDescent="0.75">
      <c r="A36" t="s">
        <v>154</v>
      </c>
      <c r="B36" t="s">
        <v>218</v>
      </c>
      <c r="C36" t="s">
        <v>219</v>
      </c>
      <c r="D36" s="4">
        <v>600000000</v>
      </c>
      <c r="E36" s="5">
        <v>45800</v>
      </c>
      <c r="F36">
        <v>1273</v>
      </c>
      <c r="G36" t="b">
        <v>0</v>
      </c>
      <c r="I36" t="str">
        <f t="shared" si="0"/>
        <v>huggingface/Qwen/Qwen3-0.6B-MLX-bf16</v>
      </c>
    </row>
    <row r="37" spans="1:9" hidden="1" x14ac:dyDescent="0.75">
      <c r="A37" t="s">
        <v>154</v>
      </c>
      <c r="B37" t="s">
        <v>220</v>
      </c>
      <c r="C37" t="s">
        <v>221</v>
      </c>
      <c r="D37" s="4">
        <v>1700000000</v>
      </c>
      <c r="E37" s="5">
        <v>45800</v>
      </c>
      <c r="F37">
        <v>860</v>
      </c>
      <c r="G37" t="b">
        <v>0</v>
      </c>
      <c r="I37" t="str">
        <f t="shared" si="0"/>
        <v>huggingface/Qwen/Qwen3-1.7B-MLX-6bit</v>
      </c>
    </row>
    <row r="38" spans="1:9" hidden="1" x14ac:dyDescent="0.75">
      <c r="A38" t="s">
        <v>154</v>
      </c>
      <c r="B38" t="s">
        <v>222</v>
      </c>
      <c r="C38" t="s">
        <v>223</v>
      </c>
      <c r="D38" s="4">
        <v>1700000000</v>
      </c>
      <c r="E38" s="5">
        <v>45800</v>
      </c>
      <c r="F38">
        <v>371</v>
      </c>
      <c r="G38" t="b">
        <v>0</v>
      </c>
      <c r="I38" t="str">
        <f t="shared" si="0"/>
        <v>huggingface/Qwen/Qwen3-1.7B-MLX-bf16</v>
      </c>
    </row>
    <row r="39" spans="1:9" hidden="1" x14ac:dyDescent="0.75">
      <c r="A39" t="s">
        <v>154</v>
      </c>
      <c r="B39" t="s">
        <v>224</v>
      </c>
      <c r="C39" t="s">
        <v>225</v>
      </c>
      <c r="D39" s="4">
        <v>4000000000</v>
      </c>
      <c r="E39" s="5">
        <v>45800</v>
      </c>
      <c r="F39">
        <v>317</v>
      </c>
      <c r="G39" t="b">
        <v>0</v>
      </c>
      <c r="I39" t="str">
        <f t="shared" si="0"/>
        <v>huggingface/Qwen/Qwen3-4B-MLX-4bit</v>
      </c>
    </row>
    <row r="40" spans="1:9" hidden="1" x14ac:dyDescent="0.75">
      <c r="A40" t="s">
        <v>154</v>
      </c>
      <c r="B40" t="s">
        <v>226</v>
      </c>
      <c r="C40" t="s">
        <v>227</v>
      </c>
      <c r="D40" s="4">
        <v>8000000000</v>
      </c>
      <c r="E40" s="5">
        <v>45800</v>
      </c>
      <c r="F40">
        <v>269</v>
      </c>
      <c r="G40" t="b">
        <v>0</v>
      </c>
      <c r="I40" t="str">
        <f t="shared" si="0"/>
        <v>huggingface/Qwen/Qwen3-8B-MLX-4bit</v>
      </c>
    </row>
    <row r="41" spans="1:9" hidden="1" x14ac:dyDescent="0.75">
      <c r="A41" t="s">
        <v>154</v>
      </c>
      <c r="B41" t="s">
        <v>228</v>
      </c>
      <c r="C41" t="s">
        <v>229</v>
      </c>
      <c r="D41" s="4">
        <v>1700000000</v>
      </c>
      <c r="E41" s="5">
        <v>45800</v>
      </c>
      <c r="F41">
        <v>260</v>
      </c>
      <c r="G41" t="b">
        <v>0</v>
      </c>
      <c r="I41" t="str">
        <f t="shared" si="0"/>
        <v>huggingface/Qwen/Qwen3-1.7B-MLX-4bit</v>
      </c>
    </row>
    <row r="42" spans="1:9" hidden="1" x14ac:dyDescent="0.75">
      <c r="A42" t="s">
        <v>154</v>
      </c>
      <c r="B42" t="s">
        <v>230</v>
      </c>
      <c r="C42" t="s">
        <v>231</v>
      </c>
      <c r="D42" s="4">
        <v>600000000</v>
      </c>
      <c r="E42" s="5">
        <v>45800</v>
      </c>
      <c r="F42">
        <v>222</v>
      </c>
      <c r="G42" t="b">
        <v>0</v>
      </c>
      <c r="I42" t="str">
        <f t="shared" si="0"/>
        <v>huggingface/Qwen/Qwen3-0.6B-MLX-8bit</v>
      </c>
    </row>
    <row r="43" spans="1:9" hidden="1" x14ac:dyDescent="0.75">
      <c r="A43" t="s">
        <v>154</v>
      </c>
      <c r="B43" t="s">
        <v>232</v>
      </c>
      <c r="C43" t="s">
        <v>233</v>
      </c>
      <c r="D43" s="4">
        <v>8000000000</v>
      </c>
      <c r="E43" s="5">
        <v>45800</v>
      </c>
      <c r="F43">
        <v>219</v>
      </c>
      <c r="G43" t="b">
        <v>0</v>
      </c>
      <c r="I43" t="str">
        <f t="shared" si="0"/>
        <v>huggingface/Qwen/Qwen3-8B-MLX-8bit</v>
      </c>
    </row>
    <row r="44" spans="1:9" hidden="1" x14ac:dyDescent="0.75">
      <c r="A44" t="s">
        <v>154</v>
      </c>
      <c r="B44" t="s">
        <v>234</v>
      </c>
      <c r="C44" t="s">
        <v>235</v>
      </c>
      <c r="D44" s="4">
        <v>14000000000</v>
      </c>
      <c r="E44" s="5">
        <v>45800</v>
      </c>
      <c r="F44">
        <v>199</v>
      </c>
      <c r="G44" t="b">
        <v>0</v>
      </c>
      <c r="I44" t="str">
        <f t="shared" si="0"/>
        <v>huggingface/Qwen/Qwen3-14B-MLX-4bit</v>
      </c>
    </row>
    <row r="45" spans="1:9" hidden="1" x14ac:dyDescent="0.75">
      <c r="A45" t="s">
        <v>154</v>
      </c>
      <c r="B45" t="s">
        <v>236</v>
      </c>
      <c r="C45" t="s">
        <v>237</v>
      </c>
      <c r="D45" s="4">
        <v>4000000000</v>
      </c>
      <c r="E45" s="5">
        <v>45800</v>
      </c>
      <c r="F45">
        <v>192</v>
      </c>
      <c r="G45" t="b">
        <v>0</v>
      </c>
      <c r="I45" t="str">
        <f t="shared" si="0"/>
        <v>huggingface/Qwen/Qwen3-4B-MLX-6bit</v>
      </c>
    </row>
    <row r="46" spans="1:9" hidden="1" x14ac:dyDescent="0.75">
      <c r="A46" t="s">
        <v>154</v>
      </c>
      <c r="B46" t="s">
        <v>238</v>
      </c>
      <c r="C46" t="s">
        <v>239</v>
      </c>
      <c r="D46" s="4">
        <v>600000000</v>
      </c>
      <c r="E46" s="5">
        <v>45800</v>
      </c>
      <c r="F46">
        <v>160</v>
      </c>
      <c r="G46" t="b">
        <v>0</v>
      </c>
      <c r="I46" t="str">
        <f t="shared" si="0"/>
        <v>huggingface/Qwen/Qwen3-0.6B-MLX-6bit</v>
      </c>
    </row>
    <row r="47" spans="1:9" hidden="1" x14ac:dyDescent="0.75">
      <c r="A47" t="s">
        <v>154</v>
      </c>
      <c r="B47" t="s">
        <v>240</v>
      </c>
      <c r="C47" t="s">
        <v>241</v>
      </c>
      <c r="D47" s="4">
        <v>4000000000</v>
      </c>
      <c r="E47" s="5">
        <v>45800</v>
      </c>
      <c r="F47">
        <v>152</v>
      </c>
      <c r="G47" t="b">
        <v>0</v>
      </c>
      <c r="I47" t="str">
        <f t="shared" si="0"/>
        <v>huggingface/Qwen/Qwen3-4B-MLX-bf16</v>
      </c>
    </row>
    <row r="48" spans="1:9" hidden="1" x14ac:dyDescent="0.75">
      <c r="A48" t="s">
        <v>154</v>
      </c>
      <c r="B48" t="s">
        <v>242</v>
      </c>
      <c r="C48" t="s">
        <v>243</v>
      </c>
      <c r="D48" s="4">
        <v>4000000000</v>
      </c>
      <c r="E48" s="5">
        <v>45800</v>
      </c>
      <c r="F48">
        <v>109</v>
      </c>
      <c r="G48" t="b">
        <v>0</v>
      </c>
      <c r="I48" t="str">
        <f t="shared" si="0"/>
        <v>huggingface/Qwen/Qwen3-4B-MLX-8bit</v>
      </c>
    </row>
    <row r="49" spans="1:9" hidden="1" x14ac:dyDescent="0.75">
      <c r="A49" t="s">
        <v>154</v>
      </c>
      <c r="B49" t="s">
        <v>244</v>
      </c>
      <c r="C49" t="s">
        <v>245</v>
      </c>
      <c r="D49" s="4">
        <v>14000000000</v>
      </c>
      <c r="E49" s="5">
        <v>45800</v>
      </c>
      <c r="F49">
        <v>103</v>
      </c>
      <c r="G49" t="b">
        <v>0</v>
      </c>
      <c r="I49" t="str">
        <f t="shared" si="0"/>
        <v>huggingface/Qwen/Qwen3-14B-MLX-8bit</v>
      </c>
    </row>
    <row r="50" spans="1:9" hidden="1" x14ac:dyDescent="0.75">
      <c r="A50" t="s">
        <v>154</v>
      </c>
      <c r="B50" t="s">
        <v>246</v>
      </c>
      <c r="C50" t="s">
        <v>247</v>
      </c>
      <c r="D50" s="4">
        <v>8000000000</v>
      </c>
      <c r="E50" s="5">
        <v>45800</v>
      </c>
      <c r="F50">
        <v>101</v>
      </c>
      <c r="G50" t="b">
        <v>0</v>
      </c>
      <c r="I50" t="str">
        <f t="shared" si="0"/>
        <v>huggingface/Qwen/Qwen3-8B-MLX-6bit</v>
      </c>
    </row>
    <row r="51" spans="1:9" hidden="1" x14ac:dyDescent="0.75">
      <c r="A51" t="s">
        <v>154</v>
      </c>
      <c r="B51" t="s">
        <v>248</v>
      </c>
      <c r="C51" t="s">
        <v>249</v>
      </c>
      <c r="D51" s="4">
        <v>14000000000</v>
      </c>
      <c r="E51" s="5">
        <v>45800</v>
      </c>
      <c r="F51">
        <v>83</v>
      </c>
      <c r="G51" t="b">
        <v>0</v>
      </c>
      <c r="I51" t="str">
        <f t="shared" si="0"/>
        <v>huggingface/Qwen/Qwen3-14B-MLX-6bit</v>
      </c>
    </row>
    <row r="52" spans="1:9" hidden="1" x14ac:dyDescent="0.75">
      <c r="A52" t="s">
        <v>154</v>
      </c>
      <c r="B52" t="s">
        <v>250</v>
      </c>
      <c r="C52" t="s">
        <v>251</v>
      </c>
      <c r="D52" s="4">
        <v>1700000000</v>
      </c>
      <c r="E52" s="5">
        <v>45800</v>
      </c>
      <c r="F52">
        <v>69</v>
      </c>
      <c r="G52" t="b">
        <v>0</v>
      </c>
      <c r="I52" t="str">
        <f t="shared" si="0"/>
        <v>huggingface/Qwen/Qwen3-1.7B-MLX-8bit</v>
      </c>
    </row>
    <row r="53" spans="1:9" hidden="1" x14ac:dyDescent="0.75">
      <c r="A53" t="s">
        <v>154</v>
      </c>
      <c r="B53" t="s">
        <v>252</v>
      </c>
      <c r="C53" t="s">
        <v>253</v>
      </c>
      <c r="D53" s="4">
        <v>235000000000</v>
      </c>
      <c r="E53" s="5">
        <v>45788</v>
      </c>
      <c r="F53">
        <v>1603</v>
      </c>
      <c r="G53" t="b">
        <v>0</v>
      </c>
      <c r="I53" t="str">
        <f t="shared" si="0"/>
        <v>huggingface/Qwen/Qwen3-235B-A22B-GGUF</v>
      </c>
    </row>
    <row r="54" spans="1:9" hidden="1" x14ac:dyDescent="0.75">
      <c r="A54" t="s">
        <v>154</v>
      </c>
      <c r="B54" t="s">
        <v>254</v>
      </c>
      <c r="C54" t="s">
        <v>255</v>
      </c>
      <c r="D54" s="4">
        <v>235000000000</v>
      </c>
      <c r="E54" s="5">
        <v>45787</v>
      </c>
      <c r="F54">
        <v>11752</v>
      </c>
      <c r="G54" t="b">
        <v>0</v>
      </c>
      <c r="I54" t="str">
        <f t="shared" si="0"/>
        <v>huggingface/Qwen/Qwen3-235B-A22B-GPTQ-Int4</v>
      </c>
    </row>
    <row r="55" spans="1:9" hidden="1" x14ac:dyDescent="0.75">
      <c r="A55" t="s">
        <v>154</v>
      </c>
      <c r="B55" t="s">
        <v>256</v>
      </c>
      <c r="C55" t="s">
        <v>257</v>
      </c>
      <c r="D55" s="4">
        <v>600000000</v>
      </c>
      <c r="E55" s="5">
        <v>45785</v>
      </c>
      <c r="F55">
        <v>3919</v>
      </c>
      <c r="G55" t="b">
        <v>0</v>
      </c>
      <c r="I55" t="str">
        <f t="shared" si="0"/>
        <v>huggingface/Qwen/Qwen3-0.6B-GPTQ-Int8</v>
      </c>
    </row>
    <row r="56" spans="1:9" hidden="1" x14ac:dyDescent="0.75">
      <c r="A56" t="s">
        <v>154</v>
      </c>
      <c r="B56" t="s">
        <v>258</v>
      </c>
      <c r="C56" t="s">
        <v>259</v>
      </c>
      <c r="D56" s="4">
        <v>1700000000</v>
      </c>
      <c r="E56" s="5">
        <v>45785</v>
      </c>
      <c r="F56">
        <v>1577</v>
      </c>
      <c r="G56" t="b">
        <v>0</v>
      </c>
      <c r="I56" t="str">
        <f t="shared" si="0"/>
        <v>huggingface/Qwen/Qwen3-1.7B-GPTQ-Int8</v>
      </c>
    </row>
    <row r="57" spans="1:9" hidden="1" x14ac:dyDescent="0.75">
      <c r="A57" t="s">
        <v>154</v>
      </c>
      <c r="B57" t="s">
        <v>260</v>
      </c>
      <c r="C57" t="s">
        <v>261</v>
      </c>
      <c r="D57" s="4">
        <v>4000000000</v>
      </c>
      <c r="E57" s="5">
        <v>45782</v>
      </c>
      <c r="F57">
        <v>72177</v>
      </c>
      <c r="G57" t="b">
        <v>0</v>
      </c>
      <c r="I57" t="str">
        <f t="shared" si="0"/>
        <v>huggingface/Qwen/Qwen3-4B-AWQ</v>
      </c>
    </row>
    <row r="58" spans="1:9" hidden="1" x14ac:dyDescent="0.75">
      <c r="A58" t="s">
        <v>154</v>
      </c>
      <c r="B58" t="s">
        <v>262</v>
      </c>
      <c r="C58" t="s">
        <v>263</v>
      </c>
      <c r="D58" s="4">
        <v>30000000000</v>
      </c>
      <c r="E58" s="5">
        <v>45782</v>
      </c>
      <c r="F58">
        <v>27219</v>
      </c>
      <c r="G58" t="b">
        <v>0</v>
      </c>
      <c r="I58" t="str">
        <f t="shared" si="0"/>
        <v>huggingface/Qwen/Qwen3-30B-A3B-GPTQ-Int4</v>
      </c>
    </row>
    <row r="59" spans="1:9" hidden="1" x14ac:dyDescent="0.75">
      <c r="A59" t="s">
        <v>154</v>
      </c>
      <c r="B59" t="s">
        <v>264</v>
      </c>
      <c r="C59" t="s">
        <v>265</v>
      </c>
      <c r="D59" s="4">
        <v>4000000000</v>
      </c>
      <c r="E59" s="5">
        <v>45782</v>
      </c>
      <c r="F59">
        <v>23780</v>
      </c>
      <c r="G59" t="b">
        <v>0</v>
      </c>
      <c r="I59" t="str">
        <f t="shared" si="0"/>
        <v>huggingface/Qwen/Qwen3-4B-GGUF</v>
      </c>
    </row>
    <row r="60" spans="1:9" hidden="1" x14ac:dyDescent="0.75">
      <c r="A60" t="s">
        <v>154</v>
      </c>
      <c r="B60" t="s">
        <v>266</v>
      </c>
      <c r="C60" t="s">
        <v>267</v>
      </c>
      <c r="D60" s="4">
        <v>600000000</v>
      </c>
      <c r="E60" s="5">
        <v>45782</v>
      </c>
      <c r="F60">
        <v>16322</v>
      </c>
      <c r="G60" t="b">
        <v>0</v>
      </c>
      <c r="I60" t="str">
        <f t="shared" si="0"/>
        <v>huggingface/Qwen/Qwen3-0.6B-GGUF</v>
      </c>
    </row>
    <row r="61" spans="1:9" hidden="1" x14ac:dyDescent="0.75">
      <c r="A61" t="s">
        <v>154</v>
      </c>
      <c r="B61" t="s">
        <v>268</v>
      </c>
      <c r="C61" t="s">
        <v>269</v>
      </c>
      <c r="D61" s="4">
        <v>30000000000</v>
      </c>
      <c r="E61" s="5">
        <v>45782</v>
      </c>
      <c r="F61">
        <v>15343</v>
      </c>
      <c r="G61" t="b">
        <v>0</v>
      </c>
      <c r="I61" t="str">
        <f t="shared" si="0"/>
        <v>huggingface/Qwen/Qwen3-30B-A3B-GGUF</v>
      </c>
    </row>
    <row r="62" spans="1:9" hidden="1" x14ac:dyDescent="0.75">
      <c r="A62" t="s">
        <v>154</v>
      </c>
      <c r="B62" t="s">
        <v>270</v>
      </c>
      <c r="C62" t="s">
        <v>271</v>
      </c>
      <c r="D62" s="4">
        <v>1700000000</v>
      </c>
      <c r="E62" s="5">
        <v>45782</v>
      </c>
      <c r="F62">
        <v>5330</v>
      </c>
      <c r="G62" t="b">
        <v>0</v>
      </c>
      <c r="I62" t="str">
        <f t="shared" si="0"/>
        <v>huggingface/Qwen/Qwen3-1.7B-GGUF</v>
      </c>
    </row>
    <row r="63" spans="1:9" hidden="1" x14ac:dyDescent="0.75">
      <c r="A63" t="s">
        <v>154</v>
      </c>
      <c r="B63" t="s">
        <v>272</v>
      </c>
      <c r="C63" t="s">
        <v>273</v>
      </c>
      <c r="D63" s="4">
        <v>8000000000</v>
      </c>
      <c r="E63" s="5">
        <v>45780</v>
      </c>
      <c r="F63">
        <v>33403</v>
      </c>
      <c r="G63" t="b">
        <v>0</v>
      </c>
      <c r="I63" t="str">
        <f t="shared" si="0"/>
        <v>huggingface/Qwen/Qwen3-8B-AWQ</v>
      </c>
    </row>
    <row r="64" spans="1:9" hidden="1" x14ac:dyDescent="0.75">
      <c r="A64" t="s">
        <v>154</v>
      </c>
      <c r="B64" t="s">
        <v>274</v>
      </c>
      <c r="C64" t="s">
        <v>275</v>
      </c>
      <c r="D64" s="4">
        <v>8000000000</v>
      </c>
      <c r="E64" s="5">
        <v>45780</v>
      </c>
      <c r="F64">
        <v>27148</v>
      </c>
      <c r="G64" t="b">
        <v>0</v>
      </c>
      <c r="I64" t="str">
        <f t="shared" si="0"/>
        <v>huggingface/Qwen/Qwen3-8B-GGUF</v>
      </c>
    </row>
    <row r="65" spans="1:9" hidden="1" x14ac:dyDescent="0.75">
      <c r="A65" t="s">
        <v>154</v>
      </c>
      <c r="B65" t="s">
        <v>276</v>
      </c>
      <c r="C65" t="s">
        <v>277</v>
      </c>
      <c r="D65" s="4">
        <v>32000000000</v>
      </c>
      <c r="E65" s="5">
        <v>45778</v>
      </c>
      <c r="F65">
        <v>554616</v>
      </c>
      <c r="G65" t="b">
        <v>0</v>
      </c>
      <c r="I65" t="str">
        <f t="shared" si="0"/>
        <v>huggingface/Qwen/Qwen3-32B-AWQ</v>
      </c>
    </row>
    <row r="66" spans="1:9" hidden="1" x14ac:dyDescent="0.75">
      <c r="A66" t="s">
        <v>154</v>
      </c>
      <c r="B66" t="s">
        <v>278</v>
      </c>
      <c r="C66" t="s">
        <v>279</v>
      </c>
      <c r="D66" s="4">
        <v>14000000000</v>
      </c>
      <c r="E66" s="5">
        <v>45778</v>
      </c>
      <c r="F66">
        <v>34459</v>
      </c>
      <c r="G66" t="b">
        <v>0</v>
      </c>
      <c r="I66" t="str">
        <f t="shared" si="0"/>
        <v>huggingface/Qwen/Qwen3-14B-AWQ</v>
      </c>
    </row>
    <row r="67" spans="1:9" hidden="1" x14ac:dyDescent="0.75">
      <c r="A67" t="s">
        <v>154</v>
      </c>
      <c r="B67" t="s">
        <v>280</v>
      </c>
      <c r="C67" t="s">
        <v>281</v>
      </c>
      <c r="D67" s="4">
        <v>32000000000</v>
      </c>
      <c r="E67" s="5">
        <v>45778</v>
      </c>
      <c r="F67">
        <v>19254</v>
      </c>
      <c r="G67" t="b">
        <v>0</v>
      </c>
      <c r="I67" t="str">
        <f t="shared" ref="I67:I130" si="1">"huggingface/"&amp;A67&amp;"/"&amp;B67</f>
        <v>huggingface/Qwen/Qwen3-32B-GGUF</v>
      </c>
    </row>
    <row r="68" spans="1:9" hidden="1" x14ac:dyDescent="0.75">
      <c r="A68" t="s">
        <v>154</v>
      </c>
      <c r="B68" t="s">
        <v>282</v>
      </c>
      <c r="C68" t="s">
        <v>283</v>
      </c>
      <c r="D68" s="4">
        <v>14000000000</v>
      </c>
      <c r="E68" s="5">
        <v>45778</v>
      </c>
      <c r="F68">
        <v>15919</v>
      </c>
      <c r="G68" t="b">
        <v>0</v>
      </c>
      <c r="I68" t="str">
        <f t="shared" si="1"/>
        <v>huggingface/Qwen/Qwen3-14B-GGUF</v>
      </c>
    </row>
    <row r="69" spans="1:9" hidden="1" x14ac:dyDescent="0.75">
      <c r="A69" t="s">
        <v>154</v>
      </c>
      <c r="B69" t="s">
        <v>284</v>
      </c>
      <c r="C69" t="s">
        <v>285</v>
      </c>
      <c r="D69" s="4">
        <v>4000000000</v>
      </c>
      <c r="E69" s="5">
        <v>45775</v>
      </c>
      <c r="F69">
        <v>5476711</v>
      </c>
      <c r="G69" t="b">
        <v>0</v>
      </c>
      <c r="I69" t="str">
        <f t="shared" si="1"/>
        <v>huggingface/Qwen/Qwen3-4B-Base</v>
      </c>
    </row>
    <row r="70" spans="1:9" hidden="1" x14ac:dyDescent="0.75">
      <c r="A70" t="s">
        <v>154</v>
      </c>
      <c r="B70" t="s">
        <v>286</v>
      </c>
      <c r="C70" t="s">
        <v>287</v>
      </c>
      <c r="D70" s="4">
        <v>8000000000</v>
      </c>
      <c r="E70" s="5">
        <v>45775</v>
      </c>
      <c r="F70">
        <v>1814798</v>
      </c>
      <c r="G70" t="b">
        <v>0</v>
      </c>
      <c r="I70" t="str">
        <f t="shared" si="1"/>
        <v>huggingface/Qwen/Qwen3-8B-Base</v>
      </c>
    </row>
    <row r="71" spans="1:9" hidden="1" x14ac:dyDescent="0.75">
      <c r="A71" t="s">
        <v>154</v>
      </c>
      <c r="B71" t="s">
        <v>288</v>
      </c>
      <c r="C71" t="s">
        <v>289</v>
      </c>
      <c r="D71" s="4">
        <v>600000000</v>
      </c>
      <c r="E71" s="5">
        <v>45775</v>
      </c>
      <c r="F71">
        <v>1225974</v>
      </c>
      <c r="G71" t="b">
        <v>0</v>
      </c>
      <c r="I71" t="str">
        <f t="shared" si="1"/>
        <v>huggingface/Qwen/Qwen3-0.6B-Base</v>
      </c>
    </row>
    <row r="72" spans="1:9" hidden="1" x14ac:dyDescent="0.75">
      <c r="A72" t="s">
        <v>154</v>
      </c>
      <c r="B72" t="s">
        <v>290</v>
      </c>
      <c r="C72" t="s">
        <v>291</v>
      </c>
      <c r="D72" s="4">
        <v>1700000000</v>
      </c>
      <c r="E72" s="5">
        <v>45775</v>
      </c>
      <c r="F72">
        <v>101544</v>
      </c>
      <c r="G72" t="b">
        <v>0</v>
      </c>
      <c r="I72" t="str">
        <f t="shared" si="1"/>
        <v>huggingface/Qwen/Qwen3-1.7B-Base</v>
      </c>
    </row>
    <row r="73" spans="1:9" hidden="1" x14ac:dyDescent="0.75">
      <c r="A73" t="s">
        <v>154</v>
      </c>
      <c r="B73" t="s">
        <v>292</v>
      </c>
      <c r="C73" t="s">
        <v>293</v>
      </c>
      <c r="D73" s="4">
        <v>8000000000</v>
      </c>
      <c r="E73" s="5">
        <v>45775</v>
      </c>
      <c r="F73">
        <v>48920</v>
      </c>
      <c r="G73" t="b">
        <v>0</v>
      </c>
      <c r="I73" t="str">
        <f t="shared" si="1"/>
        <v>huggingface/Qwen/Qwen3-8B-FP8</v>
      </c>
    </row>
    <row r="74" spans="1:9" hidden="1" x14ac:dyDescent="0.75">
      <c r="A74" t="s">
        <v>154</v>
      </c>
      <c r="B74" t="s">
        <v>294</v>
      </c>
      <c r="C74" t="s">
        <v>295</v>
      </c>
      <c r="D74" s="4">
        <v>14000000000</v>
      </c>
      <c r="E74" s="5">
        <v>45775</v>
      </c>
      <c r="F74">
        <v>47081</v>
      </c>
      <c r="G74" t="b">
        <v>0</v>
      </c>
      <c r="I74" t="str">
        <f t="shared" si="1"/>
        <v>huggingface/Qwen/Qwen3-14B-Base</v>
      </c>
    </row>
    <row r="75" spans="1:9" hidden="1" x14ac:dyDescent="0.75">
      <c r="A75" t="s">
        <v>154</v>
      </c>
      <c r="B75" t="s">
        <v>296</v>
      </c>
      <c r="C75" t="s">
        <v>297</v>
      </c>
      <c r="D75" s="4">
        <v>14000000000</v>
      </c>
      <c r="E75" s="5">
        <v>45775</v>
      </c>
      <c r="F75">
        <v>46575</v>
      </c>
      <c r="G75" t="b">
        <v>0</v>
      </c>
      <c r="I75" t="str">
        <f t="shared" si="1"/>
        <v>huggingface/Qwen/Qwen3-14B-FP8</v>
      </c>
    </row>
    <row r="76" spans="1:9" x14ac:dyDescent="0.75">
      <c r="A76" t="s">
        <v>154</v>
      </c>
      <c r="B76" t="s">
        <v>298</v>
      </c>
      <c r="C76" t="s">
        <v>299</v>
      </c>
      <c r="D76" s="4">
        <v>235000000000</v>
      </c>
      <c r="E76" s="5">
        <v>45775</v>
      </c>
      <c r="F76">
        <v>44643</v>
      </c>
      <c r="G76" t="b">
        <v>1</v>
      </c>
      <c r="I76" t="str">
        <f t="shared" si="1"/>
        <v>huggingface/Qwen/Qwen3-235B-A22B-FP8</v>
      </c>
    </row>
    <row r="77" spans="1:9" x14ac:dyDescent="0.75">
      <c r="A77" t="s">
        <v>154</v>
      </c>
      <c r="B77" t="s">
        <v>300</v>
      </c>
      <c r="C77" t="s">
        <v>301</v>
      </c>
      <c r="D77" s="4">
        <v>32000000000</v>
      </c>
      <c r="E77" s="5">
        <v>45775</v>
      </c>
      <c r="F77">
        <v>23581</v>
      </c>
      <c r="G77" t="b">
        <v>1</v>
      </c>
      <c r="I77" t="str">
        <f t="shared" si="1"/>
        <v>huggingface/Qwen/Qwen3-32B-FP8</v>
      </c>
    </row>
    <row r="78" spans="1:9" hidden="1" x14ac:dyDescent="0.75">
      <c r="A78" t="s">
        <v>154</v>
      </c>
      <c r="B78" t="s">
        <v>302</v>
      </c>
      <c r="C78" t="s">
        <v>303</v>
      </c>
      <c r="D78" s="4">
        <v>30000000000</v>
      </c>
      <c r="E78" s="5">
        <v>45775</v>
      </c>
      <c r="F78">
        <v>18486</v>
      </c>
      <c r="G78" t="b">
        <v>0</v>
      </c>
      <c r="I78" t="str">
        <f t="shared" si="1"/>
        <v>huggingface/Qwen/Qwen3-30B-A3B-FP8</v>
      </c>
    </row>
    <row r="79" spans="1:9" hidden="1" x14ac:dyDescent="0.75">
      <c r="A79" t="s">
        <v>154</v>
      </c>
      <c r="B79" t="s">
        <v>304</v>
      </c>
      <c r="C79" t="s">
        <v>305</v>
      </c>
      <c r="D79" s="4">
        <v>30000000000</v>
      </c>
      <c r="E79" s="5">
        <v>45775</v>
      </c>
      <c r="F79">
        <v>16924</v>
      </c>
      <c r="G79" t="b">
        <v>0</v>
      </c>
      <c r="I79" t="str">
        <f t="shared" si="1"/>
        <v>huggingface/Qwen/Qwen3-30B-A3B-Base</v>
      </c>
    </row>
    <row r="80" spans="1:9" hidden="1" x14ac:dyDescent="0.75">
      <c r="A80" t="s">
        <v>154</v>
      </c>
      <c r="B80" t="s">
        <v>306</v>
      </c>
      <c r="C80" t="s">
        <v>307</v>
      </c>
      <c r="D80" s="4">
        <v>1700000000</v>
      </c>
      <c r="E80" s="5">
        <v>45775</v>
      </c>
      <c r="F80">
        <v>5616</v>
      </c>
      <c r="G80" t="b">
        <v>0</v>
      </c>
      <c r="I80" t="str">
        <f t="shared" si="1"/>
        <v>huggingface/Qwen/Qwen3-1.7B-FP8</v>
      </c>
    </row>
    <row r="81" spans="1:9" hidden="1" x14ac:dyDescent="0.75">
      <c r="A81" t="s">
        <v>154</v>
      </c>
      <c r="B81" t="s">
        <v>308</v>
      </c>
      <c r="C81" t="s">
        <v>309</v>
      </c>
      <c r="D81" s="4">
        <v>4000000000</v>
      </c>
      <c r="E81" s="5">
        <v>45775</v>
      </c>
      <c r="F81">
        <v>4958</v>
      </c>
      <c r="G81" t="b">
        <v>0</v>
      </c>
      <c r="I81" t="str">
        <f t="shared" si="1"/>
        <v>huggingface/Qwen/Qwen3-4B-FP8</v>
      </c>
    </row>
    <row r="82" spans="1:9" hidden="1" x14ac:dyDescent="0.75">
      <c r="A82" t="s">
        <v>154</v>
      </c>
      <c r="B82" t="s">
        <v>310</v>
      </c>
      <c r="C82" t="s">
        <v>311</v>
      </c>
      <c r="D82" s="4">
        <v>600000000</v>
      </c>
      <c r="E82" s="5">
        <v>45775</v>
      </c>
      <c r="F82">
        <v>4428</v>
      </c>
      <c r="G82" t="b">
        <v>0</v>
      </c>
      <c r="I82" t="str">
        <f t="shared" si="1"/>
        <v>huggingface/Qwen/Qwen3-0.6B-FP8</v>
      </c>
    </row>
    <row r="83" spans="1:9" x14ac:dyDescent="0.75">
      <c r="A83" t="s">
        <v>154</v>
      </c>
      <c r="B83" t="s">
        <v>312</v>
      </c>
      <c r="C83" t="s">
        <v>313</v>
      </c>
      <c r="D83" s="4">
        <v>8000000000</v>
      </c>
      <c r="E83" s="5">
        <v>45774</v>
      </c>
      <c r="F83">
        <v>5160545</v>
      </c>
      <c r="G83" t="b">
        <v>1</v>
      </c>
      <c r="I83" t="str">
        <f t="shared" si="1"/>
        <v>huggingface/Qwen/Qwen3-8B</v>
      </c>
    </row>
    <row r="84" spans="1:9" hidden="1" x14ac:dyDescent="0.75">
      <c r="A84" t="s">
        <v>154</v>
      </c>
      <c r="B84" t="s">
        <v>314</v>
      </c>
      <c r="C84" t="s">
        <v>315</v>
      </c>
      <c r="D84" s="4">
        <v>600000000</v>
      </c>
      <c r="E84" s="5">
        <v>45774</v>
      </c>
      <c r="F84">
        <v>2932330</v>
      </c>
      <c r="G84" t="b">
        <v>0</v>
      </c>
      <c r="I84" t="str">
        <f t="shared" si="1"/>
        <v>huggingface/Qwen/Qwen3-0.6B</v>
      </c>
    </row>
    <row r="85" spans="1:9" hidden="1" x14ac:dyDescent="0.75">
      <c r="A85" t="s">
        <v>154</v>
      </c>
      <c r="B85" t="s">
        <v>316</v>
      </c>
      <c r="C85" t="s">
        <v>317</v>
      </c>
      <c r="D85" s="4">
        <v>1700000000</v>
      </c>
      <c r="E85" s="5">
        <v>45774</v>
      </c>
      <c r="F85">
        <v>1238114</v>
      </c>
      <c r="G85" t="b">
        <v>0</v>
      </c>
      <c r="I85" t="str">
        <f t="shared" si="1"/>
        <v>huggingface/Qwen/Qwen3-1.7B</v>
      </c>
    </row>
    <row r="86" spans="1:9" x14ac:dyDescent="0.75">
      <c r="A86" t="s">
        <v>154</v>
      </c>
      <c r="B86" t="s">
        <v>318</v>
      </c>
      <c r="C86" t="s">
        <v>319</v>
      </c>
      <c r="D86" s="4">
        <v>4000000000</v>
      </c>
      <c r="E86" s="5">
        <v>45774</v>
      </c>
      <c r="F86">
        <v>1172110</v>
      </c>
      <c r="G86" t="b">
        <v>1</v>
      </c>
      <c r="I86" t="str">
        <f t="shared" si="1"/>
        <v>huggingface/Qwen/Qwen3-4B</v>
      </c>
    </row>
    <row r="87" spans="1:9" x14ac:dyDescent="0.75">
      <c r="A87" t="s">
        <v>154</v>
      </c>
      <c r="B87" t="s">
        <v>320</v>
      </c>
      <c r="C87" t="s">
        <v>321</v>
      </c>
      <c r="D87" s="4">
        <v>30000000000</v>
      </c>
      <c r="E87" s="5">
        <v>45774</v>
      </c>
      <c r="F87">
        <v>1002573</v>
      </c>
      <c r="G87" t="b">
        <v>1</v>
      </c>
      <c r="I87" t="str">
        <f t="shared" si="1"/>
        <v>huggingface/Qwen/Qwen3-30B-A3B</v>
      </c>
    </row>
    <row r="88" spans="1:9" x14ac:dyDescent="0.75">
      <c r="A88" t="s">
        <v>154</v>
      </c>
      <c r="B88" t="s">
        <v>322</v>
      </c>
      <c r="C88" t="s">
        <v>323</v>
      </c>
      <c r="D88" s="4">
        <v>32000000000</v>
      </c>
      <c r="E88" s="5">
        <v>45774</v>
      </c>
      <c r="F88">
        <v>926964</v>
      </c>
      <c r="G88" t="b">
        <v>1</v>
      </c>
      <c r="I88" t="str">
        <f t="shared" si="1"/>
        <v>huggingface/Qwen/Qwen3-32B</v>
      </c>
    </row>
    <row r="89" spans="1:9" x14ac:dyDescent="0.75">
      <c r="A89" t="s">
        <v>154</v>
      </c>
      <c r="B89" t="s">
        <v>324</v>
      </c>
      <c r="C89" t="s">
        <v>325</v>
      </c>
      <c r="D89" s="4">
        <v>14000000000</v>
      </c>
      <c r="E89" s="5">
        <v>45774</v>
      </c>
      <c r="F89">
        <v>706258</v>
      </c>
      <c r="G89" t="b">
        <v>1</v>
      </c>
      <c r="I89" t="str">
        <f t="shared" si="1"/>
        <v>huggingface/Qwen/Qwen3-14B</v>
      </c>
    </row>
    <row r="90" spans="1:9" x14ac:dyDescent="0.75">
      <c r="A90" t="s">
        <v>154</v>
      </c>
      <c r="B90" t="s">
        <v>326</v>
      </c>
      <c r="C90" t="s">
        <v>327</v>
      </c>
      <c r="D90" s="4">
        <v>235000000000</v>
      </c>
      <c r="E90" s="5">
        <v>45774</v>
      </c>
      <c r="F90">
        <v>136203</v>
      </c>
      <c r="G90" t="b">
        <v>1</v>
      </c>
      <c r="I90" t="str">
        <f t="shared" si="1"/>
        <v>huggingface/Qwen/Qwen3-235B-A22B</v>
      </c>
    </row>
    <row r="91" spans="1:9" hidden="1" x14ac:dyDescent="0.75">
      <c r="A91" t="s">
        <v>154</v>
      </c>
      <c r="B91" t="s">
        <v>328</v>
      </c>
      <c r="C91" t="s">
        <v>329</v>
      </c>
      <c r="D91" s="4">
        <v>32000000000</v>
      </c>
      <c r="E91" s="5">
        <v>45742</v>
      </c>
      <c r="F91">
        <v>56961</v>
      </c>
      <c r="G91" t="b">
        <v>0</v>
      </c>
      <c r="I91" t="str">
        <f t="shared" si="1"/>
        <v>huggingface/Qwen/Qwen2.5-VL-32B-Instruct-AWQ</v>
      </c>
    </row>
    <row r="92" spans="1:9" hidden="1" x14ac:dyDescent="0.75">
      <c r="A92" t="s">
        <v>154</v>
      </c>
      <c r="B92" t="s">
        <v>330</v>
      </c>
      <c r="C92" t="s">
        <v>331</v>
      </c>
      <c r="D92" s="4">
        <v>32000000000</v>
      </c>
      <c r="E92" s="5">
        <v>45737</v>
      </c>
      <c r="F92">
        <v>444165</v>
      </c>
      <c r="G92" t="b">
        <v>1</v>
      </c>
      <c r="H92" t="s">
        <v>1078</v>
      </c>
      <c r="I92" t="str">
        <f t="shared" si="1"/>
        <v>huggingface/Qwen/Qwen2.5-VL-32B-Instruct</v>
      </c>
    </row>
    <row r="93" spans="1:9" x14ac:dyDescent="0.75">
      <c r="A93" t="s">
        <v>154</v>
      </c>
      <c r="B93" t="s">
        <v>332</v>
      </c>
      <c r="C93" t="s">
        <v>333</v>
      </c>
      <c r="D93" s="4">
        <v>32000000000</v>
      </c>
      <c r="E93" s="5">
        <v>45721</v>
      </c>
      <c r="F93">
        <v>150241</v>
      </c>
      <c r="G93" t="b">
        <v>1</v>
      </c>
      <c r="I93" t="str">
        <f t="shared" si="1"/>
        <v>huggingface/Qwen/QwQ-32B</v>
      </c>
    </row>
    <row r="94" spans="1:9" hidden="1" x14ac:dyDescent="0.75">
      <c r="A94" t="s">
        <v>154</v>
      </c>
      <c r="B94" t="s">
        <v>334</v>
      </c>
      <c r="C94" t="s">
        <v>335</v>
      </c>
      <c r="D94" s="4">
        <v>32000000000</v>
      </c>
      <c r="E94" s="5">
        <v>45721</v>
      </c>
      <c r="F94">
        <v>20811</v>
      </c>
      <c r="G94" t="b">
        <v>0</v>
      </c>
      <c r="I94" t="str">
        <f t="shared" si="1"/>
        <v>huggingface/Qwen/QwQ-32B-GGUF</v>
      </c>
    </row>
    <row r="95" spans="1:9" hidden="1" x14ac:dyDescent="0.75">
      <c r="A95" t="s">
        <v>154</v>
      </c>
      <c r="B95" t="s">
        <v>336</v>
      </c>
      <c r="C95" t="s">
        <v>337</v>
      </c>
      <c r="D95" s="4">
        <v>32000000000</v>
      </c>
      <c r="E95" s="5">
        <v>45721</v>
      </c>
      <c r="F95">
        <v>10170</v>
      </c>
      <c r="G95" t="b">
        <v>0</v>
      </c>
      <c r="I95" t="str">
        <f t="shared" si="1"/>
        <v>huggingface/Qwen/QwQ-32B-AWQ</v>
      </c>
    </row>
    <row r="96" spans="1:9" hidden="1" x14ac:dyDescent="0.75">
      <c r="A96" t="s">
        <v>154</v>
      </c>
      <c r="B96" t="s">
        <v>338</v>
      </c>
      <c r="C96" t="s">
        <v>339</v>
      </c>
      <c r="D96" s="4">
        <v>7000000000</v>
      </c>
      <c r="E96" s="5">
        <v>45703</v>
      </c>
      <c r="F96">
        <v>360031</v>
      </c>
      <c r="G96" t="b">
        <v>0</v>
      </c>
      <c r="I96" t="str">
        <f t="shared" si="1"/>
        <v>huggingface/Qwen/Qwen2.5-VL-7B-Instruct-AWQ</v>
      </c>
    </row>
    <row r="97" spans="1:9" hidden="1" x14ac:dyDescent="0.75">
      <c r="A97" t="s">
        <v>154</v>
      </c>
      <c r="B97" t="s">
        <v>340</v>
      </c>
      <c r="C97" t="s">
        <v>341</v>
      </c>
      <c r="D97" s="4">
        <v>3000000000</v>
      </c>
      <c r="E97" s="5">
        <v>45701</v>
      </c>
      <c r="F97">
        <v>352408</v>
      </c>
      <c r="G97" t="b">
        <v>0</v>
      </c>
      <c r="I97" t="str">
        <f t="shared" si="1"/>
        <v>huggingface/Qwen/Qwen2.5-VL-3B-Instruct-AWQ</v>
      </c>
    </row>
    <row r="98" spans="1:9" hidden="1" x14ac:dyDescent="0.75">
      <c r="A98" t="s">
        <v>154</v>
      </c>
      <c r="B98" t="s">
        <v>342</v>
      </c>
      <c r="C98" t="s">
        <v>343</v>
      </c>
      <c r="D98" s="4">
        <v>72000000000</v>
      </c>
      <c r="E98" s="5">
        <v>45701</v>
      </c>
      <c r="F98">
        <v>21919</v>
      </c>
      <c r="G98" t="b">
        <v>0</v>
      </c>
      <c r="I98" t="str">
        <f t="shared" si="1"/>
        <v>huggingface/Qwen/Qwen2.5-VL-72B-Instruct-AWQ</v>
      </c>
    </row>
    <row r="99" spans="1:9" hidden="1" x14ac:dyDescent="0.75">
      <c r="A99" t="s">
        <v>154</v>
      </c>
      <c r="B99" t="s">
        <v>344</v>
      </c>
      <c r="C99" t="s">
        <v>345</v>
      </c>
      <c r="D99" s="4">
        <v>72000000000</v>
      </c>
      <c r="E99" s="5">
        <v>45684</v>
      </c>
      <c r="F99">
        <v>732898</v>
      </c>
      <c r="G99" t="b">
        <v>1</v>
      </c>
      <c r="H99" t="s">
        <v>1078</v>
      </c>
      <c r="I99" t="str">
        <f t="shared" si="1"/>
        <v>huggingface/Qwen/Qwen2.5-VL-72B-Instruct</v>
      </c>
    </row>
    <row r="100" spans="1:9" hidden="1" x14ac:dyDescent="0.75">
      <c r="A100" t="s">
        <v>154</v>
      </c>
      <c r="B100" t="s">
        <v>346</v>
      </c>
      <c r="C100" t="s">
        <v>347</v>
      </c>
      <c r="D100" s="4">
        <v>7000000000</v>
      </c>
      <c r="E100" s="5">
        <v>45683</v>
      </c>
      <c r="F100">
        <v>4186238</v>
      </c>
      <c r="G100" t="b">
        <v>1</v>
      </c>
      <c r="H100" t="s">
        <v>1078</v>
      </c>
      <c r="I100" t="str">
        <f t="shared" si="1"/>
        <v>huggingface/Qwen/Qwen2.5-VL-7B-Instruct</v>
      </c>
    </row>
    <row r="101" spans="1:9" hidden="1" x14ac:dyDescent="0.75">
      <c r="A101" t="s">
        <v>154</v>
      </c>
      <c r="B101" t="s">
        <v>348</v>
      </c>
      <c r="C101" t="s">
        <v>349</v>
      </c>
      <c r="D101" s="4">
        <v>3000000000</v>
      </c>
      <c r="E101" s="5">
        <v>45683</v>
      </c>
      <c r="F101">
        <v>3346582</v>
      </c>
      <c r="G101" t="b">
        <v>0</v>
      </c>
      <c r="I101" t="str">
        <f t="shared" si="1"/>
        <v>huggingface/Qwen/Qwen2.5-VL-3B-Instruct</v>
      </c>
    </row>
    <row r="102" spans="1:9" x14ac:dyDescent="0.75">
      <c r="A102" t="s">
        <v>350</v>
      </c>
      <c r="B102" t="s">
        <v>351</v>
      </c>
      <c r="C102" t="s">
        <v>352</v>
      </c>
      <c r="D102" s="4">
        <v>8000000000</v>
      </c>
      <c r="E102" s="5">
        <v>45806</v>
      </c>
      <c r="F102">
        <v>346158</v>
      </c>
      <c r="G102" t="b">
        <v>1</v>
      </c>
      <c r="I102" t="str">
        <f t="shared" si="1"/>
        <v>huggingface/deepseek-ai/DeepSeek-R1-0528-Qwen3-8B</v>
      </c>
    </row>
    <row r="103" spans="1:9" x14ac:dyDescent="0.75">
      <c r="A103" t="s">
        <v>350</v>
      </c>
      <c r="B103" t="s">
        <v>353</v>
      </c>
      <c r="C103" t="s">
        <v>354</v>
      </c>
      <c r="E103" s="5">
        <v>45805</v>
      </c>
      <c r="F103">
        <v>432133</v>
      </c>
      <c r="G103" t="b">
        <v>1</v>
      </c>
      <c r="I103" t="str">
        <f t="shared" si="1"/>
        <v>huggingface/deepseek-ai/DeepSeek-R1-0528</v>
      </c>
    </row>
    <row r="104" spans="1:9" x14ac:dyDescent="0.75">
      <c r="A104" t="s">
        <v>350</v>
      </c>
      <c r="B104" t="s">
        <v>355</v>
      </c>
      <c r="C104" t="s">
        <v>356</v>
      </c>
      <c r="D104" s="4">
        <v>671000000000</v>
      </c>
      <c r="E104" s="5">
        <v>45777</v>
      </c>
      <c r="F104">
        <v>1506</v>
      </c>
      <c r="G104" t="b">
        <v>1</v>
      </c>
      <c r="I104" t="str">
        <f t="shared" si="1"/>
        <v>huggingface/deepseek-ai/DeepSeek-Prover-V2-671B</v>
      </c>
    </row>
    <row r="105" spans="1:9" x14ac:dyDescent="0.75">
      <c r="A105" t="s">
        <v>350</v>
      </c>
      <c r="B105" t="s">
        <v>357</v>
      </c>
      <c r="C105" t="s">
        <v>358</v>
      </c>
      <c r="E105" s="5">
        <v>45740</v>
      </c>
      <c r="F105">
        <v>404418</v>
      </c>
      <c r="G105" t="b">
        <v>1</v>
      </c>
      <c r="I105" t="str">
        <f t="shared" si="1"/>
        <v>huggingface/deepseek-ai/DeepSeek-V3-0324</v>
      </c>
    </row>
    <row r="106" spans="1:9" x14ac:dyDescent="0.75">
      <c r="A106" t="s">
        <v>350</v>
      </c>
      <c r="B106" t="s">
        <v>359</v>
      </c>
      <c r="C106" t="s">
        <v>62</v>
      </c>
      <c r="D106" s="4">
        <v>7000000000</v>
      </c>
      <c r="E106" s="5">
        <v>45677</v>
      </c>
      <c r="F106">
        <v>1692193</v>
      </c>
      <c r="G106" t="b">
        <v>1</v>
      </c>
      <c r="I106" t="str">
        <f t="shared" si="1"/>
        <v>huggingface/deepseek-ai/DeepSeek-R1-Distill-Qwen-7B</v>
      </c>
    </row>
    <row r="107" spans="1:9" x14ac:dyDescent="0.75">
      <c r="A107" t="s">
        <v>350</v>
      </c>
      <c r="B107" t="s">
        <v>360</v>
      </c>
      <c r="C107" t="s">
        <v>361</v>
      </c>
      <c r="D107" s="4">
        <v>32000000000</v>
      </c>
      <c r="E107" s="5">
        <v>45677</v>
      </c>
      <c r="F107">
        <v>1095023</v>
      </c>
      <c r="G107" t="b">
        <v>1</v>
      </c>
      <c r="I107" t="str">
        <f t="shared" si="1"/>
        <v>huggingface/deepseek-ai/DeepSeek-R1-Distill-Qwen-32B</v>
      </c>
    </row>
    <row r="108" spans="1:9" x14ac:dyDescent="0.75">
      <c r="A108" t="s">
        <v>350</v>
      </c>
      <c r="B108" t="s">
        <v>362</v>
      </c>
      <c r="C108" t="s">
        <v>363</v>
      </c>
      <c r="D108" s="4">
        <v>8000000000</v>
      </c>
      <c r="E108" s="5">
        <v>45677</v>
      </c>
      <c r="F108">
        <v>865754</v>
      </c>
      <c r="G108" t="b">
        <v>1</v>
      </c>
      <c r="I108" t="str">
        <f t="shared" si="1"/>
        <v>huggingface/deepseek-ai/DeepSeek-R1-Distill-Llama-8B</v>
      </c>
    </row>
    <row r="109" spans="1:9" x14ac:dyDescent="0.75">
      <c r="A109" t="s">
        <v>350</v>
      </c>
      <c r="B109" t="s">
        <v>364</v>
      </c>
      <c r="C109" t="s">
        <v>365</v>
      </c>
      <c r="E109" s="5">
        <v>45677</v>
      </c>
      <c r="F109">
        <v>733308</v>
      </c>
      <c r="G109" t="b">
        <v>1</v>
      </c>
      <c r="I109" t="str">
        <f t="shared" si="1"/>
        <v>huggingface/deepseek-ai/DeepSeek-R1</v>
      </c>
    </row>
    <row r="110" spans="1:9" x14ac:dyDescent="0.75">
      <c r="A110" t="s">
        <v>350</v>
      </c>
      <c r="B110" t="s">
        <v>366</v>
      </c>
      <c r="C110" t="s">
        <v>367</v>
      </c>
      <c r="D110" s="4">
        <v>1500000000</v>
      </c>
      <c r="E110" s="5">
        <v>45677</v>
      </c>
      <c r="F110">
        <v>711887</v>
      </c>
      <c r="G110" t="b">
        <v>1</v>
      </c>
      <c r="I110" t="str">
        <f t="shared" si="1"/>
        <v>huggingface/deepseek-ai/DeepSeek-R1-Distill-Qwen-1.5B</v>
      </c>
    </row>
    <row r="111" spans="1:9" hidden="1" x14ac:dyDescent="0.75">
      <c r="A111" t="s">
        <v>350</v>
      </c>
      <c r="B111" t="s">
        <v>368</v>
      </c>
      <c r="C111" t="s">
        <v>369</v>
      </c>
      <c r="D111" s="4">
        <v>70000000000</v>
      </c>
      <c r="E111" s="5">
        <v>45677</v>
      </c>
      <c r="F111">
        <v>263553</v>
      </c>
      <c r="G111" t="b">
        <v>0</v>
      </c>
      <c r="I111" t="str">
        <f t="shared" si="1"/>
        <v>huggingface/deepseek-ai/DeepSeek-R1-Distill-Llama-70B</v>
      </c>
    </row>
    <row r="112" spans="1:9" x14ac:dyDescent="0.75">
      <c r="A112" t="s">
        <v>350</v>
      </c>
      <c r="B112" t="s">
        <v>370</v>
      </c>
      <c r="C112" t="s">
        <v>371</v>
      </c>
      <c r="D112" s="4">
        <v>14000000000</v>
      </c>
      <c r="E112" s="5">
        <v>45677</v>
      </c>
      <c r="F112">
        <v>205775</v>
      </c>
      <c r="G112" t="b">
        <v>1</v>
      </c>
      <c r="I112" t="str">
        <f t="shared" si="1"/>
        <v>huggingface/deepseek-ai/DeepSeek-R1-Distill-Qwen-14B</v>
      </c>
    </row>
    <row r="113" spans="1:9" hidden="1" x14ac:dyDescent="0.75">
      <c r="A113" t="s">
        <v>350</v>
      </c>
      <c r="B113" t="s">
        <v>372</v>
      </c>
      <c r="C113" t="s">
        <v>373</v>
      </c>
      <c r="E113" s="5">
        <v>45677</v>
      </c>
      <c r="F113">
        <v>1305</v>
      </c>
      <c r="G113" t="b">
        <v>0</v>
      </c>
      <c r="I113" t="str">
        <f t="shared" si="1"/>
        <v>huggingface/deepseek-ai/DeepSeek-R1-Zero</v>
      </c>
    </row>
    <row r="114" spans="1:9" x14ac:dyDescent="0.75">
      <c r="A114" t="s">
        <v>350</v>
      </c>
      <c r="B114" t="s">
        <v>374</v>
      </c>
      <c r="C114" t="s">
        <v>375</v>
      </c>
      <c r="E114" s="5">
        <v>45651</v>
      </c>
      <c r="F114">
        <v>448185</v>
      </c>
      <c r="G114" t="b">
        <v>1</v>
      </c>
      <c r="I114" t="str">
        <f t="shared" si="1"/>
        <v>huggingface/deepseek-ai/DeepSeek-V3</v>
      </c>
    </row>
    <row r="115" spans="1:9" hidden="1" x14ac:dyDescent="0.75">
      <c r="A115" t="s">
        <v>350</v>
      </c>
      <c r="B115" t="s">
        <v>376</v>
      </c>
      <c r="C115" t="s">
        <v>377</v>
      </c>
      <c r="E115" s="5">
        <v>45639</v>
      </c>
      <c r="F115">
        <v>26634</v>
      </c>
      <c r="G115" t="b">
        <v>0</v>
      </c>
      <c r="I115" t="str">
        <f t="shared" si="1"/>
        <v>huggingface/deepseek-ai/deepseek-vl2-small</v>
      </c>
    </row>
    <row r="116" spans="1:9" hidden="1" x14ac:dyDescent="0.75">
      <c r="A116" t="s">
        <v>350</v>
      </c>
      <c r="B116" t="s">
        <v>378</v>
      </c>
      <c r="C116" t="s">
        <v>379</v>
      </c>
      <c r="E116" s="5">
        <v>45636</v>
      </c>
      <c r="F116">
        <v>17026</v>
      </c>
      <c r="G116" t="b">
        <v>0</v>
      </c>
      <c r="I116" t="str">
        <f t="shared" si="1"/>
        <v>huggingface/deepseek-ai/DeepSeek-V2.5-1210</v>
      </c>
    </row>
    <row r="117" spans="1:9" hidden="1" x14ac:dyDescent="0.75">
      <c r="A117" t="s">
        <v>350</v>
      </c>
      <c r="B117" t="s">
        <v>380</v>
      </c>
      <c r="C117" t="s">
        <v>381</v>
      </c>
      <c r="E117" s="5">
        <v>45540</v>
      </c>
      <c r="F117">
        <v>1816</v>
      </c>
      <c r="G117" t="b">
        <v>0</v>
      </c>
      <c r="I117" t="str">
        <f t="shared" si="1"/>
        <v>huggingface/deepseek-ai/DeepSeek-V2.5</v>
      </c>
    </row>
    <row r="118" spans="1:9" hidden="1" x14ac:dyDescent="0.75">
      <c r="A118" t="s">
        <v>350</v>
      </c>
      <c r="B118" t="s">
        <v>382</v>
      </c>
      <c r="C118" t="s">
        <v>383</v>
      </c>
      <c r="E118" s="5">
        <v>45540</v>
      </c>
      <c r="F118">
        <v>977</v>
      </c>
      <c r="G118" t="b">
        <v>0</v>
      </c>
      <c r="I118" t="str">
        <f t="shared" si="1"/>
        <v>huggingface/deepseek-ai/DeepSeek-Coder-V2-Instruct-0724</v>
      </c>
    </row>
    <row r="119" spans="1:9" hidden="1" x14ac:dyDescent="0.75">
      <c r="A119" t="s">
        <v>350</v>
      </c>
      <c r="B119" t="s">
        <v>384</v>
      </c>
      <c r="C119" t="s">
        <v>385</v>
      </c>
      <c r="E119" s="5">
        <v>45491</v>
      </c>
      <c r="F119">
        <v>122</v>
      </c>
      <c r="G119" t="b">
        <v>0</v>
      </c>
      <c r="I119" t="str">
        <f t="shared" si="1"/>
        <v>huggingface/deepseek-ai/DeepSeek-V2-Chat-0628</v>
      </c>
    </row>
    <row r="120" spans="1:9" hidden="1" x14ac:dyDescent="0.75">
      <c r="A120" t="s">
        <v>350</v>
      </c>
      <c r="B120" t="s">
        <v>386</v>
      </c>
      <c r="C120" t="s">
        <v>387</v>
      </c>
      <c r="E120" s="5">
        <v>45477</v>
      </c>
      <c r="F120">
        <v>1096</v>
      </c>
      <c r="G120" t="b">
        <v>0</v>
      </c>
      <c r="I120" t="str">
        <f t="shared" si="1"/>
        <v>huggingface/deepseek-ai/ESFT-vanilla-lite</v>
      </c>
    </row>
    <row r="121" spans="1:9" hidden="1" x14ac:dyDescent="0.75">
      <c r="A121" t="s">
        <v>350</v>
      </c>
      <c r="B121" t="s">
        <v>388</v>
      </c>
      <c r="C121" t="s">
        <v>389</v>
      </c>
      <c r="E121" s="5">
        <v>45477</v>
      </c>
      <c r="F121">
        <v>52</v>
      </c>
      <c r="G121" t="b">
        <v>0</v>
      </c>
      <c r="I121" t="str">
        <f t="shared" si="1"/>
        <v>huggingface/deepseek-ai/ESFT-token-translation-lite</v>
      </c>
    </row>
    <row r="122" spans="1:9" hidden="1" x14ac:dyDescent="0.75">
      <c r="A122" t="s">
        <v>350</v>
      </c>
      <c r="B122" t="s">
        <v>390</v>
      </c>
      <c r="C122" t="s">
        <v>391</v>
      </c>
      <c r="E122" s="5">
        <v>45477</v>
      </c>
      <c r="F122">
        <v>28</v>
      </c>
      <c r="G122" t="b">
        <v>0</v>
      </c>
      <c r="I122" t="str">
        <f t="shared" si="1"/>
        <v>huggingface/deepseek-ai/ESFT-gate-summary-lite</v>
      </c>
    </row>
    <row r="123" spans="1:9" hidden="1" x14ac:dyDescent="0.75">
      <c r="A123" t="s">
        <v>350</v>
      </c>
      <c r="B123" t="s">
        <v>392</v>
      </c>
      <c r="C123" t="s">
        <v>393</v>
      </c>
      <c r="E123" s="5">
        <v>45477</v>
      </c>
      <c r="F123">
        <v>25</v>
      </c>
      <c r="G123" t="b">
        <v>0</v>
      </c>
      <c r="I123" t="str">
        <f t="shared" si="1"/>
        <v>huggingface/deepseek-ai/ESFT-token-math-lite</v>
      </c>
    </row>
    <row r="124" spans="1:9" hidden="1" x14ac:dyDescent="0.75">
      <c r="A124" t="s">
        <v>350</v>
      </c>
      <c r="B124" t="s">
        <v>394</v>
      </c>
      <c r="C124" t="s">
        <v>395</v>
      </c>
      <c r="E124" s="5">
        <v>45477</v>
      </c>
      <c r="F124">
        <v>22</v>
      </c>
      <c r="G124" t="b">
        <v>0</v>
      </c>
      <c r="I124" t="str">
        <f t="shared" si="1"/>
        <v>huggingface/deepseek-ai/ESFT-gate-translation-lite</v>
      </c>
    </row>
    <row r="125" spans="1:9" hidden="1" x14ac:dyDescent="0.75">
      <c r="A125" t="s">
        <v>350</v>
      </c>
      <c r="B125" t="s">
        <v>396</v>
      </c>
      <c r="C125" t="s">
        <v>397</v>
      </c>
      <c r="E125" s="5">
        <v>45477</v>
      </c>
      <c r="F125">
        <v>22</v>
      </c>
      <c r="G125" t="b">
        <v>0</v>
      </c>
      <c r="I125" t="str">
        <f t="shared" si="1"/>
        <v>huggingface/deepseek-ai/ESFT-gate-math-lite</v>
      </c>
    </row>
    <row r="126" spans="1:9" hidden="1" x14ac:dyDescent="0.75">
      <c r="A126" t="s">
        <v>350</v>
      </c>
      <c r="B126" t="s">
        <v>398</v>
      </c>
      <c r="C126" t="s">
        <v>399</v>
      </c>
      <c r="E126" s="5">
        <v>45477</v>
      </c>
      <c r="F126">
        <v>20</v>
      </c>
      <c r="G126" t="b">
        <v>0</v>
      </c>
      <c r="I126" t="str">
        <f t="shared" si="1"/>
        <v>huggingface/deepseek-ai/ESFT-token-law-lite</v>
      </c>
    </row>
    <row r="127" spans="1:9" hidden="1" x14ac:dyDescent="0.75">
      <c r="A127" t="s">
        <v>350</v>
      </c>
      <c r="B127" t="s">
        <v>400</v>
      </c>
      <c r="C127" t="s">
        <v>401</v>
      </c>
      <c r="E127" s="5">
        <v>45477</v>
      </c>
      <c r="F127">
        <v>18</v>
      </c>
      <c r="G127" t="b">
        <v>0</v>
      </c>
      <c r="I127" t="str">
        <f t="shared" si="1"/>
        <v>huggingface/deepseek-ai/ESFT-token-summary-lite</v>
      </c>
    </row>
    <row r="128" spans="1:9" hidden="1" x14ac:dyDescent="0.75">
      <c r="A128" t="s">
        <v>350</v>
      </c>
      <c r="B128" t="s">
        <v>402</v>
      </c>
      <c r="C128" t="s">
        <v>403</v>
      </c>
      <c r="E128" s="5">
        <v>45477</v>
      </c>
      <c r="F128">
        <v>18</v>
      </c>
      <c r="G128" t="b">
        <v>0</v>
      </c>
      <c r="I128" t="str">
        <f t="shared" si="1"/>
        <v>huggingface/deepseek-ai/ESFT-gate-code-lite</v>
      </c>
    </row>
    <row r="129" spans="1:9" hidden="1" x14ac:dyDescent="0.75">
      <c r="A129" t="s">
        <v>350</v>
      </c>
      <c r="B129" t="s">
        <v>404</v>
      </c>
      <c r="C129" t="s">
        <v>405</v>
      </c>
      <c r="E129" s="5">
        <v>45477</v>
      </c>
      <c r="F129">
        <v>17</v>
      </c>
      <c r="G129" t="b">
        <v>0</v>
      </c>
      <c r="I129" t="str">
        <f t="shared" si="1"/>
        <v>huggingface/deepseek-ai/ESFT-gate-law-lite</v>
      </c>
    </row>
    <row r="130" spans="1:9" hidden="1" x14ac:dyDescent="0.75">
      <c r="A130" t="s">
        <v>350</v>
      </c>
      <c r="B130" t="s">
        <v>406</v>
      </c>
      <c r="C130" t="s">
        <v>407</v>
      </c>
      <c r="E130" s="5">
        <v>45477</v>
      </c>
      <c r="F130">
        <v>17</v>
      </c>
      <c r="G130" t="b">
        <v>0</v>
      </c>
      <c r="I130" t="str">
        <f t="shared" si="1"/>
        <v>huggingface/deepseek-ai/ESFT-token-code-lite</v>
      </c>
    </row>
    <row r="131" spans="1:9" hidden="1" x14ac:dyDescent="0.75">
      <c r="A131" t="s">
        <v>350</v>
      </c>
      <c r="B131" t="s">
        <v>408</v>
      </c>
      <c r="C131" t="s">
        <v>409</v>
      </c>
      <c r="E131" s="5">
        <v>45477</v>
      </c>
      <c r="F131">
        <v>17</v>
      </c>
      <c r="G131" t="b">
        <v>0</v>
      </c>
      <c r="I131" t="str">
        <f t="shared" ref="I131:I194" si="2">"huggingface/"&amp;A131&amp;"/"&amp;B131</f>
        <v>huggingface/deepseek-ai/ESFT-token-intent-lite</v>
      </c>
    </row>
    <row r="132" spans="1:9" hidden="1" x14ac:dyDescent="0.75">
      <c r="A132" t="s">
        <v>350</v>
      </c>
      <c r="B132" t="s">
        <v>410</v>
      </c>
      <c r="C132" t="s">
        <v>411</v>
      </c>
      <c r="E132" s="5">
        <v>45477</v>
      </c>
      <c r="F132">
        <v>17</v>
      </c>
      <c r="G132" t="b">
        <v>0</v>
      </c>
      <c r="I132" t="str">
        <f t="shared" si="2"/>
        <v>huggingface/deepseek-ai/ESFT-gate-intent-lite</v>
      </c>
    </row>
    <row r="133" spans="1:9" hidden="1" x14ac:dyDescent="0.75">
      <c r="A133" t="s">
        <v>350</v>
      </c>
      <c r="B133" t="s">
        <v>412</v>
      </c>
      <c r="C133" t="s">
        <v>413</v>
      </c>
      <c r="E133" s="5">
        <v>45457</v>
      </c>
      <c r="F133">
        <v>701375</v>
      </c>
      <c r="G133" t="b">
        <v>0</v>
      </c>
      <c r="I133" t="str">
        <f t="shared" si="2"/>
        <v>huggingface/deepseek-ai/DeepSeek-Coder-V2-Lite-Instruct</v>
      </c>
    </row>
    <row r="134" spans="1:9" hidden="1" x14ac:dyDescent="0.75">
      <c r="A134" t="s">
        <v>350</v>
      </c>
      <c r="B134" t="s">
        <v>414</v>
      </c>
      <c r="C134" t="s">
        <v>415</v>
      </c>
      <c r="E134" s="5">
        <v>45457</v>
      </c>
      <c r="F134">
        <v>4735</v>
      </c>
      <c r="G134" t="b">
        <v>0</v>
      </c>
      <c r="I134" t="str">
        <f t="shared" si="2"/>
        <v>huggingface/deepseek-ai/DeepSeek-Coder-V2-Instruct</v>
      </c>
    </row>
    <row r="135" spans="1:9" hidden="1" x14ac:dyDescent="0.75">
      <c r="A135" t="s">
        <v>350</v>
      </c>
      <c r="B135" t="s">
        <v>416</v>
      </c>
      <c r="C135" t="s">
        <v>417</v>
      </c>
      <c r="E135" s="5">
        <v>45457</v>
      </c>
      <c r="F135">
        <v>3699</v>
      </c>
      <c r="G135" t="b">
        <v>0</v>
      </c>
      <c r="I135" t="str">
        <f t="shared" si="2"/>
        <v>huggingface/deepseek-ai/DeepSeek-Coder-V2-Lite-Base</v>
      </c>
    </row>
    <row r="136" spans="1:9" hidden="1" x14ac:dyDescent="0.75">
      <c r="A136" t="s">
        <v>350</v>
      </c>
      <c r="B136" t="s">
        <v>418</v>
      </c>
      <c r="C136" t="s">
        <v>419</v>
      </c>
      <c r="E136" s="5">
        <v>45457</v>
      </c>
      <c r="F136">
        <v>1166</v>
      </c>
      <c r="G136" t="b">
        <v>0</v>
      </c>
      <c r="I136" t="str">
        <f t="shared" si="2"/>
        <v>huggingface/deepseek-ai/DeepSeek-Coder-V2-Base</v>
      </c>
    </row>
    <row r="137" spans="1:9" hidden="1" x14ac:dyDescent="0.75">
      <c r="A137" t="s">
        <v>350</v>
      </c>
      <c r="B137" t="s">
        <v>420</v>
      </c>
      <c r="C137" t="s">
        <v>421</v>
      </c>
      <c r="E137" s="5">
        <v>45427</v>
      </c>
      <c r="F137">
        <v>85176</v>
      </c>
      <c r="G137" t="b">
        <v>0</v>
      </c>
      <c r="I137" t="str">
        <f t="shared" si="2"/>
        <v>huggingface/deepseek-ai/DeepSeek-V2-Lite-Chat</v>
      </c>
    </row>
    <row r="138" spans="1:9" hidden="1" x14ac:dyDescent="0.75">
      <c r="A138" t="s">
        <v>350</v>
      </c>
      <c r="B138" t="s">
        <v>422</v>
      </c>
      <c r="C138" t="s">
        <v>423</v>
      </c>
      <c r="E138" s="5">
        <v>45427</v>
      </c>
      <c r="F138">
        <v>82140</v>
      </c>
      <c r="G138" t="b">
        <v>0</v>
      </c>
      <c r="I138" t="str">
        <f t="shared" si="2"/>
        <v>huggingface/deepseek-ai/DeepSeek-V2-Lite</v>
      </c>
    </row>
    <row r="139" spans="1:9" hidden="1" x14ac:dyDescent="0.75">
      <c r="A139" t="s">
        <v>350</v>
      </c>
      <c r="B139" t="s">
        <v>424</v>
      </c>
      <c r="C139" t="s">
        <v>425</v>
      </c>
      <c r="E139" s="5">
        <v>45410</v>
      </c>
      <c r="F139">
        <v>8029</v>
      </c>
      <c r="G139" t="b">
        <v>0</v>
      </c>
      <c r="I139" t="str">
        <f t="shared" si="2"/>
        <v>huggingface/deepseek-ai/DeepSeek-V2-Chat</v>
      </c>
    </row>
    <row r="140" spans="1:9" hidden="1" x14ac:dyDescent="0.75">
      <c r="A140" t="s">
        <v>350</v>
      </c>
      <c r="B140" t="s">
        <v>426</v>
      </c>
      <c r="C140" t="s">
        <v>427</v>
      </c>
      <c r="E140" s="5">
        <v>45404</v>
      </c>
      <c r="F140">
        <v>21763</v>
      </c>
      <c r="G140" t="b">
        <v>0</v>
      </c>
      <c r="I140" t="str">
        <f t="shared" si="2"/>
        <v>huggingface/deepseek-ai/DeepSeek-V2</v>
      </c>
    </row>
    <row r="141" spans="1:9" hidden="1" x14ac:dyDescent="0.75">
      <c r="A141" t="s">
        <v>350</v>
      </c>
      <c r="B141" t="s">
        <v>428</v>
      </c>
      <c r="C141" t="s">
        <v>429</v>
      </c>
      <c r="D141" s="4">
        <v>1300000000</v>
      </c>
      <c r="E141" s="5">
        <v>45358</v>
      </c>
      <c r="F141">
        <v>95013</v>
      </c>
      <c r="G141" t="b">
        <v>0</v>
      </c>
      <c r="I141" t="str">
        <f t="shared" si="2"/>
        <v>huggingface/deepseek-ai/deepseek-vl-1.3b-chat</v>
      </c>
    </row>
    <row r="142" spans="1:9" hidden="1" x14ac:dyDescent="0.75">
      <c r="A142" t="s">
        <v>350</v>
      </c>
      <c r="B142" t="s">
        <v>430</v>
      </c>
      <c r="C142" t="s">
        <v>431</v>
      </c>
      <c r="D142" s="4">
        <v>7000000000</v>
      </c>
      <c r="E142" s="5">
        <v>45358</v>
      </c>
      <c r="F142">
        <v>53099</v>
      </c>
      <c r="G142" t="b">
        <v>0</v>
      </c>
      <c r="I142" t="str">
        <f t="shared" si="2"/>
        <v>huggingface/deepseek-ai/deepseek-vl-7b-chat</v>
      </c>
    </row>
    <row r="143" spans="1:9" hidden="1" x14ac:dyDescent="0.75">
      <c r="A143" t="s">
        <v>350</v>
      </c>
      <c r="B143" t="s">
        <v>432</v>
      </c>
      <c r="C143" t="s">
        <v>433</v>
      </c>
      <c r="D143" s="4">
        <v>7000000000</v>
      </c>
      <c r="E143" s="5">
        <v>45327</v>
      </c>
      <c r="F143">
        <v>59037</v>
      </c>
      <c r="G143" t="b">
        <v>0</v>
      </c>
      <c r="I143" t="str">
        <f t="shared" si="2"/>
        <v>huggingface/deepseek-ai/deepseek-math-7b-instruct</v>
      </c>
    </row>
    <row r="144" spans="1:9" hidden="1" x14ac:dyDescent="0.75">
      <c r="A144" t="s">
        <v>350</v>
      </c>
      <c r="B144" t="s">
        <v>434</v>
      </c>
      <c r="C144" t="s">
        <v>435</v>
      </c>
      <c r="D144" s="4">
        <v>7000000000</v>
      </c>
      <c r="E144" s="5">
        <v>45327</v>
      </c>
      <c r="F144">
        <v>5276</v>
      </c>
      <c r="G144" t="b">
        <v>0</v>
      </c>
      <c r="I144" t="str">
        <f t="shared" si="2"/>
        <v>huggingface/deepseek-ai/deepseek-math-7b-rl</v>
      </c>
    </row>
    <row r="145" spans="1:9" hidden="1" x14ac:dyDescent="0.75">
      <c r="A145" t="s">
        <v>350</v>
      </c>
      <c r="B145" t="s">
        <v>436</v>
      </c>
      <c r="C145" t="s">
        <v>437</v>
      </c>
      <c r="D145" s="4">
        <v>7000000000</v>
      </c>
      <c r="E145" s="5">
        <v>45316</v>
      </c>
      <c r="F145">
        <v>98196</v>
      </c>
      <c r="G145" t="b">
        <v>0</v>
      </c>
      <c r="I145" t="str">
        <f t="shared" si="2"/>
        <v>huggingface/deepseek-ai/deepseek-coder-7b-instruct-v1.5</v>
      </c>
    </row>
    <row r="146" spans="1:9" hidden="1" x14ac:dyDescent="0.75">
      <c r="A146" t="s">
        <v>350</v>
      </c>
      <c r="B146" t="s">
        <v>438</v>
      </c>
      <c r="C146" t="s">
        <v>439</v>
      </c>
      <c r="D146" s="4">
        <v>16000000000</v>
      </c>
      <c r="E146" s="5">
        <v>45300</v>
      </c>
      <c r="F146">
        <v>7664</v>
      </c>
      <c r="G146" t="b">
        <v>0</v>
      </c>
      <c r="I146" t="str">
        <f t="shared" si="2"/>
        <v>huggingface/deepseek-ai/deepseek-moe-16b-chat</v>
      </c>
    </row>
    <row r="147" spans="1:9" hidden="1" x14ac:dyDescent="0.75">
      <c r="A147" t="s">
        <v>350</v>
      </c>
      <c r="B147" t="s">
        <v>440</v>
      </c>
      <c r="C147" t="s">
        <v>441</v>
      </c>
      <c r="D147" s="4">
        <v>7000000000</v>
      </c>
      <c r="E147" s="5">
        <v>45259</v>
      </c>
      <c r="F147">
        <v>161596</v>
      </c>
      <c r="G147" t="b">
        <v>0</v>
      </c>
      <c r="I147" t="str">
        <f t="shared" si="2"/>
        <v>huggingface/deepseek-ai/deepseek-llm-7b-chat</v>
      </c>
    </row>
    <row r="148" spans="1:9" hidden="1" x14ac:dyDescent="0.75">
      <c r="A148" t="s">
        <v>350</v>
      </c>
      <c r="B148" t="s">
        <v>442</v>
      </c>
      <c r="C148" t="s">
        <v>443</v>
      </c>
      <c r="D148" s="4">
        <v>67000000000</v>
      </c>
      <c r="E148" s="5">
        <v>45259</v>
      </c>
      <c r="F148">
        <v>2922</v>
      </c>
      <c r="G148" t="b">
        <v>0</v>
      </c>
      <c r="I148" t="str">
        <f t="shared" si="2"/>
        <v>huggingface/deepseek-ai/deepseek-llm-67b-chat</v>
      </c>
    </row>
    <row r="149" spans="1:9" hidden="1" x14ac:dyDescent="0.75">
      <c r="A149" t="s">
        <v>350</v>
      </c>
      <c r="B149" t="s">
        <v>444</v>
      </c>
      <c r="C149" t="s">
        <v>445</v>
      </c>
      <c r="D149" s="4">
        <v>33000000000</v>
      </c>
      <c r="E149" s="5">
        <v>45231</v>
      </c>
      <c r="F149">
        <v>16372</v>
      </c>
      <c r="G149" t="b">
        <v>0</v>
      </c>
      <c r="I149" t="str">
        <f t="shared" si="2"/>
        <v>huggingface/deepseek-ai/deepseek-coder-33b-instruct</v>
      </c>
    </row>
    <row r="150" spans="1:9" hidden="1" x14ac:dyDescent="0.75">
      <c r="A150" t="s">
        <v>350</v>
      </c>
      <c r="B150" t="s">
        <v>446</v>
      </c>
      <c r="C150" t="s">
        <v>447</v>
      </c>
      <c r="D150" s="4">
        <v>6700000000</v>
      </c>
      <c r="E150" s="5">
        <v>45228</v>
      </c>
      <c r="F150">
        <v>51589</v>
      </c>
      <c r="G150" t="b">
        <v>0</v>
      </c>
      <c r="I150" t="str">
        <f t="shared" si="2"/>
        <v>huggingface/deepseek-ai/deepseek-coder-6.7b-instruct</v>
      </c>
    </row>
    <row r="151" spans="1:9" hidden="1" x14ac:dyDescent="0.75">
      <c r="A151" t="s">
        <v>350</v>
      </c>
      <c r="B151" t="s">
        <v>448</v>
      </c>
      <c r="C151" t="s">
        <v>449</v>
      </c>
      <c r="D151" s="4">
        <v>1300000000</v>
      </c>
      <c r="E151" s="5">
        <v>45228</v>
      </c>
      <c r="F151">
        <v>44895</v>
      </c>
      <c r="G151" t="b">
        <v>0</v>
      </c>
      <c r="I151" t="str">
        <f t="shared" si="2"/>
        <v>huggingface/deepseek-ai/deepseek-coder-1.3b-instruct</v>
      </c>
    </row>
    <row r="152" spans="1:9" hidden="1" x14ac:dyDescent="0.75">
      <c r="A152" t="s">
        <v>450</v>
      </c>
      <c r="B152" t="s">
        <v>451</v>
      </c>
      <c r="C152" t="s">
        <v>452</v>
      </c>
      <c r="E152" s="5">
        <v>45879</v>
      </c>
      <c r="F152">
        <v>9618</v>
      </c>
      <c r="G152" t="b">
        <v>0</v>
      </c>
      <c r="I152" t="str">
        <f t="shared" si="2"/>
        <v>huggingface/zai-org/GLM-4.5V-FP8</v>
      </c>
    </row>
    <row r="153" spans="1:9" x14ac:dyDescent="0.75">
      <c r="A153" t="s">
        <v>450</v>
      </c>
      <c r="B153" t="s">
        <v>453</v>
      </c>
      <c r="C153" t="s">
        <v>454</v>
      </c>
      <c r="E153" s="5">
        <v>45879</v>
      </c>
      <c r="F153">
        <v>9502</v>
      </c>
      <c r="G153" t="b">
        <v>1</v>
      </c>
      <c r="I153" t="str">
        <f t="shared" si="2"/>
        <v>huggingface/zai-org/GLM-4.5V</v>
      </c>
    </row>
    <row r="154" spans="1:9" x14ac:dyDescent="0.75">
      <c r="A154" t="s">
        <v>450</v>
      </c>
      <c r="B154" t="s">
        <v>455</v>
      </c>
      <c r="C154" t="s">
        <v>126</v>
      </c>
      <c r="E154" s="5">
        <v>45858</v>
      </c>
      <c r="F154">
        <v>46944</v>
      </c>
      <c r="G154" t="b">
        <v>1</v>
      </c>
      <c r="I154" t="str">
        <f t="shared" si="2"/>
        <v>huggingface/zai-org/GLM-4.5-Air</v>
      </c>
    </row>
    <row r="155" spans="1:9" x14ac:dyDescent="0.75">
      <c r="A155" t="s">
        <v>450</v>
      </c>
      <c r="B155" t="s">
        <v>456</v>
      </c>
      <c r="C155" t="s">
        <v>53</v>
      </c>
      <c r="E155" s="5">
        <v>45858</v>
      </c>
      <c r="F155">
        <v>24569</v>
      </c>
      <c r="G155" t="b">
        <v>1</v>
      </c>
      <c r="I155" t="str">
        <f t="shared" si="2"/>
        <v>huggingface/zai-org/GLM-4.5</v>
      </c>
    </row>
    <row r="156" spans="1:9" x14ac:dyDescent="0.75">
      <c r="A156" t="s">
        <v>450</v>
      </c>
      <c r="B156" t="s">
        <v>457</v>
      </c>
      <c r="C156" t="s">
        <v>458</v>
      </c>
      <c r="E156" s="5">
        <v>45858</v>
      </c>
      <c r="F156">
        <v>23352</v>
      </c>
      <c r="G156" t="b">
        <v>1</v>
      </c>
      <c r="I156" t="str">
        <f t="shared" si="2"/>
        <v>huggingface/zai-org/GLM-4.5-Air-FP8</v>
      </c>
    </row>
    <row r="157" spans="1:9" hidden="1" x14ac:dyDescent="0.75">
      <c r="A157" t="s">
        <v>450</v>
      </c>
      <c r="B157" t="s">
        <v>459</v>
      </c>
      <c r="C157" t="s">
        <v>460</v>
      </c>
      <c r="E157" s="5">
        <v>45858</v>
      </c>
      <c r="F157">
        <v>10237</v>
      </c>
      <c r="G157" t="b">
        <v>0</v>
      </c>
      <c r="I157" t="str">
        <f t="shared" si="2"/>
        <v>huggingface/zai-org/GLM-4.5-FP8</v>
      </c>
    </row>
    <row r="158" spans="1:9" x14ac:dyDescent="0.75">
      <c r="A158" t="s">
        <v>450</v>
      </c>
      <c r="B158" t="s">
        <v>461</v>
      </c>
      <c r="C158" t="s">
        <v>462</v>
      </c>
      <c r="D158" s="4">
        <v>9000000000</v>
      </c>
      <c r="E158" s="5">
        <v>45836</v>
      </c>
      <c r="F158">
        <v>174272</v>
      </c>
      <c r="G158" t="b">
        <v>1</v>
      </c>
      <c r="I158" t="str">
        <f t="shared" si="2"/>
        <v>huggingface/zai-org/GLM-4.1V-9B-Thinking</v>
      </c>
    </row>
    <row r="159" spans="1:9" hidden="1" x14ac:dyDescent="0.75">
      <c r="A159" t="s">
        <v>450</v>
      </c>
      <c r="B159" t="s">
        <v>463</v>
      </c>
      <c r="C159" t="s">
        <v>464</v>
      </c>
      <c r="D159" s="4">
        <v>32000000000</v>
      </c>
      <c r="E159" s="5">
        <v>45760</v>
      </c>
      <c r="F159">
        <v>941</v>
      </c>
      <c r="G159" t="b">
        <v>0</v>
      </c>
      <c r="I159" t="str">
        <f t="shared" si="2"/>
        <v>huggingface/zai-org/GLM-Z1-Rumination-32B-0414</v>
      </c>
    </row>
    <row r="160" spans="1:9" hidden="1" x14ac:dyDescent="0.75">
      <c r="A160" t="s">
        <v>450</v>
      </c>
      <c r="B160" t="s">
        <v>465</v>
      </c>
      <c r="C160" t="s">
        <v>466</v>
      </c>
      <c r="D160" s="4">
        <v>32000000000</v>
      </c>
      <c r="E160" s="5">
        <v>45755</v>
      </c>
      <c r="F160">
        <v>2105</v>
      </c>
      <c r="G160" t="b">
        <v>0</v>
      </c>
      <c r="I160" t="str">
        <f t="shared" si="2"/>
        <v>huggingface/zai-org/GLM-Z1-32B-0414</v>
      </c>
    </row>
    <row r="161" spans="1:9" hidden="1" x14ac:dyDescent="0.75">
      <c r="A161" t="s">
        <v>450</v>
      </c>
      <c r="B161" t="s">
        <v>467</v>
      </c>
      <c r="C161" t="s">
        <v>468</v>
      </c>
      <c r="D161" s="4">
        <v>9000000000</v>
      </c>
      <c r="E161" s="5">
        <v>45755</v>
      </c>
      <c r="F161">
        <v>1267</v>
      </c>
      <c r="G161" t="b">
        <v>0</v>
      </c>
      <c r="I161" t="str">
        <f t="shared" si="2"/>
        <v>huggingface/zai-org/GLM-Z1-9B-0414</v>
      </c>
    </row>
    <row r="162" spans="1:9" x14ac:dyDescent="0.75">
      <c r="A162" t="s">
        <v>450</v>
      </c>
      <c r="B162" t="s">
        <v>469</v>
      </c>
      <c r="C162" t="s">
        <v>470</v>
      </c>
      <c r="D162" s="4">
        <v>32000000000</v>
      </c>
      <c r="E162" s="5">
        <v>45754</v>
      </c>
      <c r="F162">
        <v>117385</v>
      </c>
      <c r="G162" t="b">
        <v>1</v>
      </c>
      <c r="I162" t="str">
        <f t="shared" si="2"/>
        <v>huggingface/zai-org/GLM-4-32B-0414</v>
      </c>
    </row>
    <row r="163" spans="1:9" hidden="1" x14ac:dyDescent="0.75">
      <c r="A163" t="s">
        <v>450</v>
      </c>
      <c r="B163" t="s">
        <v>471</v>
      </c>
      <c r="C163" t="s">
        <v>472</v>
      </c>
      <c r="D163" s="4">
        <v>9000000000</v>
      </c>
      <c r="E163" s="5">
        <v>45754</v>
      </c>
      <c r="F163">
        <v>15734</v>
      </c>
      <c r="G163" t="b">
        <v>0</v>
      </c>
      <c r="I163" t="str">
        <f t="shared" si="2"/>
        <v>huggingface/zai-org/GLM-4-9B-0414</v>
      </c>
    </row>
    <row r="164" spans="1:9" hidden="1" x14ac:dyDescent="0.75">
      <c r="A164" t="s">
        <v>450</v>
      </c>
      <c r="B164" t="s">
        <v>473</v>
      </c>
      <c r="C164" t="s">
        <v>474</v>
      </c>
      <c r="D164" s="4">
        <v>32000000000</v>
      </c>
      <c r="E164" s="5">
        <v>45753</v>
      </c>
      <c r="F164">
        <v>30</v>
      </c>
      <c r="G164" t="b">
        <v>0</v>
      </c>
      <c r="I164" t="str">
        <f t="shared" si="2"/>
        <v>huggingface/zai-org/SWE-Dev-32B</v>
      </c>
    </row>
    <row r="165" spans="1:9" hidden="1" x14ac:dyDescent="0.75">
      <c r="A165" t="s">
        <v>450</v>
      </c>
      <c r="B165" t="s">
        <v>475</v>
      </c>
      <c r="C165" t="s">
        <v>476</v>
      </c>
      <c r="E165" s="5">
        <v>45636</v>
      </c>
      <c r="F165">
        <v>842</v>
      </c>
      <c r="G165" t="b">
        <v>0</v>
      </c>
      <c r="I165" t="str">
        <f t="shared" si="2"/>
        <v>huggingface/zai-org/VisionReward-Video</v>
      </c>
    </row>
    <row r="166" spans="1:9" hidden="1" x14ac:dyDescent="0.75">
      <c r="A166" t="s">
        <v>450</v>
      </c>
      <c r="B166" t="s">
        <v>477</v>
      </c>
      <c r="C166" t="s">
        <v>478</v>
      </c>
      <c r="D166" s="4">
        <v>5000000000</v>
      </c>
      <c r="E166" s="5">
        <v>45623</v>
      </c>
      <c r="F166">
        <v>637</v>
      </c>
      <c r="G166" t="b">
        <v>0</v>
      </c>
      <c r="I166" t="str">
        <f t="shared" si="2"/>
        <v>huggingface/zai-org/glm-edge-v-5b-gguf</v>
      </c>
    </row>
    <row r="167" spans="1:9" hidden="1" x14ac:dyDescent="0.75">
      <c r="A167" t="s">
        <v>450</v>
      </c>
      <c r="B167" t="s">
        <v>479</v>
      </c>
      <c r="C167" t="s">
        <v>480</v>
      </c>
      <c r="D167" s="4">
        <v>2000000000</v>
      </c>
      <c r="E167" s="5">
        <v>45623</v>
      </c>
      <c r="F167">
        <v>549</v>
      </c>
      <c r="G167" t="b">
        <v>0</v>
      </c>
      <c r="I167" t="str">
        <f t="shared" si="2"/>
        <v>huggingface/zai-org/glm-edge-v-2b-gguf</v>
      </c>
    </row>
    <row r="168" spans="1:9" hidden="1" x14ac:dyDescent="0.75">
      <c r="A168" t="s">
        <v>450</v>
      </c>
      <c r="B168" t="s">
        <v>481</v>
      </c>
      <c r="C168" t="s">
        <v>482</v>
      </c>
      <c r="D168" s="4">
        <v>1500000000</v>
      </c>
      <c r="E168" s="5">
        <v>45623</v>
      </c>
      <c r="F168">
        <v>385</v>
      </c>
      <c r="G168" t="b">
        <v>0</v>
      </c>
      <c r="I168" t="str">
        <f t="shared" si="2"/>
        <v>huggingface/zai-org/glm-edge-1.5b-chat-gguf</v>
      </c>
    </row>
    <row r="169" spans="1:9" hidden="1" x14ac:dyDescent="0.75">
      <c r="A169" t="s">
        <v>450</v>
      </c>
      <c r="B169" t="s">
        <v>483</v>
      </c>
      <c r="C169" t="s">
        <v>484</v>
      </c>
      <c r="D169" s="4">
        <v>4000000000</v>
      </c>
      <c r="E169" s="5">
        <v>45623</v>
      </c>
      <c r="F169">
        <v>334</v>
      </c>
      <c r="G169" t="b">
        <v>0</v>
      </c>
      <c r="I169" t="str">
        <f t="shared" si="2"/>
        <v>huggingface/zai-org/glm-edge-4b-chat-gguf</v>
      </c>
    </row>
    <row r="170" spans="1:9" hidden="1" x14ac:dyDescent="0.75">
      <c r="A170" t="s">
        <v>450</v>
      </c>
      <c r="B170" t="s">
        <v>485</v>
      </c>
      <c r="C170" t="s">
        <v>486</v>
      </c>
      <c r="D170" s="4">
        <v>2000000000</v>
      </c>
      <c r="E170" s="5">
        <v>45620</v>
      </c>
      <c r="F170">
        <v>3403</v>
      </c>
      <c r="G170" t="b">
        <v>0</v>
      </c>
      <c r="I170" t="str">
        <f t="shared" si="2"/>
        <v>huggingface/zai-org/glm-edge-v-2b</v>
      </c>
    </row>
    <row r="171" spans="1:9" hidden="1" x14ac:dyDescent="0.75">
      <c r="A171" t="s">
        <v>450</v>
      </c>
      <c r="B171" t="s">
        <v>487</v>
      </c>
      <c r="C171" t="s">
        <v>488</v>
      </c>
      <c r="D171" s="4">
        <v>5000000000</v>
      </c>
      <c r="E171" s="5">
        <v>45620</v>
      </c>
      <c r="F171">
        <v>36</v>
      </c>
      <c r="G171" t="b">
        <v>0</v>
      </c>
      <c r="I171" t="str">
        <f t="shared" si="2"/>
        <v>huggingface/zai-org/glm-edge-v-5b</v>
      </c>
    </row>
    <row r="172" spans="1:9" hidden="1" x14ac:dyDescent="0.75">
      <c r="A172" t="s">
        <v>450</v>
      </c>
      <c r="B172" t="s">
        <v>489</v>
      </c>
      <c r="C172" t="s">
        <v>490</v>
      </c>
      <c r="D172" s="4">
        <v>1500000000</v>
      </c>
      <c r="E172" s="5">
        <v>45616</v>
      </c>
      <c r="F172">
        <v>1387</v>
      </c>
      <c r="G172" t="b">
        <v>0</v>
      </c>
      <c r="I172" t="str">
        <f t="shared" si="2"/>
        <v>huggingface/zai-org/glm-edge-1.5b-chat</v>
      </c>
    </row>
    <row r="173" spans="1:9" hidden="1" x14ac:dyDescent="0.75">
      <c r="A173" t="s">
        <v>450</v>
      </c>
      <c r="B173" t="s">
        <v>491</v>
      </c>
      <c r="C173" t="s">
        <v>492</v>
      </c>
      <c r="D173" s="4">
        <v>4000000000</v>
      </c>
      <c r="E173" s="5">
        <v>45616</v>
      </c>
      <c r="F173">
        <v>1316</v>
      </c>
      <c r="G173" t="b">
        <v>0</v>
      </c>
      <c r="I173" t="str">
        <f t="shared" si="2"/>
        <v>huggingface/zai-org/glm-edge-4b-chat</v>
      </c>
    </row>
    <row r="174" spans="1:9" hidden="1" x14ac:dyDescent="0.75">
      <c r="A174" t="s">
        <v>450</v>
      </c>
      <c r="B174" t="s">
        <v>493</v>
      </c>
      <c r="C174" t="s">
        <v>494</v>
      </c>
      <c r="D174" s="4">
        <v>9000000000</v>
      </c>
      <c r="E174" s="5">
        <v>45593</v>
      </c>
      <c r="F174">
        <v>30</v>
      </c>
      <c r="G174" t="b">
        <v>0</v>
      </c>
      <c r="I174" t="str">
        <f t="shared" si="2"/>
        <v>huggingface/zai-org/LongReward-glm4-9b-DPO</v>
      </c>
    </row>
    <row r="175" spans="1:9" hidden="1" x14ac:dyDescent="0.75">
      <c r="A175" t="s">
        <v>450</v>
      </c>
      <c r="B175" t="s">
        <v>495</v>
      </c>
      <c r="C175" t="s">
        <v>496</v>
      </c>
      <c r="D175" s="4">
        <v>9000000000</v>
      </c>
      <c r="E175" s="5">
        <v>45589</v>
      </c>
      <c r="F175">
        <v>944</v>
      </c>
      <c r="G175" t="b">
        <v>0</v>
      </c>
      <c r="I175" t="str">
        <f t="shared" si="2"/>
        <v>huggingface/zai-org/glm-4-9b-chat-1m-hf</v>
      </c>
    </row>
    <row r="176" spans="1:9" hidden="1" x14ac:dyDescent="0.75">
      <c r="A176" t="s">
        <v>450</v>
      </c>
      <c r="B176" t="s">
        <v>497</v>
      </c>
      <c r="C176" t="s">
        <v>498</v>
      </c>
      <c r="D176" s="4">
        <v>9000000000</v>
      </c>
      <c r="E176" s="5">
        <v>45588</v>
      </c>
      <c r="F176">
        <v>8631</v>
      </c>
      <c r="G176" t="b">
        <v>0</v>
      </c>
      <c r="I176" t="str">
        <f t="shared" si="2"/>
        <v>huggingface/zai-org/glm-4-9b-chat-hf</v>
      </c>
    </row>
    <row r="177" spans="1:9" hidden="1" x14ac:dyDescent="0.75">
      <c r="A177" t="s">
        <v>450</v>
      </c>
      <c r="B177" t="s">
        <v>499</v>
      </c>
      <c r="C177" t="s">
        <v>500</v>
      </c>
      <c r="D177" s="4">
        <v>9000000000</v>
      </c>
      <c r="E177" s="5">
        <v>45537</v>
      </c>
      <c r="F177">
        <v>77</v>
      </c>
      <c r="G177" t="b">
        <v>0</v>
      </c>
      <c r="I177" t="str">
        <f t="shared" si="2"/>
        <v>huggingface/zai-org/LongCite-glm4-9b</v>
      </c>
    </row>
    <row r="178" spans="1:9" hidden="1" x14ac:dyDescent="0.75">
      <c r="A178" t="s">
        <v>450</v>
      </c>
      <c r="B178" t="s">
        <v>501</v>
      </c>
      <c r="C178" t="s">
        <v>502</v>
      </c>
      <c r="D178" s="4">
        <v>9000000000</v>
      </c>
      <c r="E178" s="5">
        <v>45516</v>
      </c>
      <c r="F178">
        <v>154</v>
      </c>
      <c r="G178" t="b">
        <v>0</v>
      </c>
      <c r="I178" t="str">
        <f t="shared" si="2"/>
        <v>huggingface/zai-org/LongWriter-glm4-9b</v>
      </c>
    </row>
    <row r="179" spans="1:9" hidden="1" x14ac:dyDescent="0.75">
      <c r="A179" t="s">
        <v>450</v>
      </c>
      <c r="B179" t="s">
        <v>503</v>
      </c>
      <c r="C179" t="s">
        <v>504</v>
      </c>
      <c r="E179" s="5">
        <v>45476</v>
      </c>
      <c r="F179">
        <v>380</v>
      </c>
      <c r="G179" t="b">
        <v>0</v>
      </c>
      <c r="I179" t="str">
        <f t="shared" si="2"/>
        <v>huggingface/zai-org/cogvlm2-video-llama3-chat</v>
      </c>
    </row>
    <row r="180" spans="1:9" hidden="1" x14ac:dyDescent="0.75">
      <c r="A180" t="s">
        <v>450</v>
      </c>
      <c r="B180" t="s">
        <v>505</v>
      </c>
      <c r="C180" t="s">
        <v>506</v>
      </c>
      <c r="E180" s="5">
        <v>45476</v>
      </c>
      <c r="F180">
        <v>51</v>
      </c>
      <c r="G180" t="b">
        <v>0</v>
      </c>
      <c r="I180" t="str">
        <f t="shared" si="2"/>
        <v>huggingface/zai-org/cogvlm2-video-llama3-base</v>
      </c>
    </row>
    <row r="181" spans="1:9" hidden="1" x14ac:dyDescent="0.75">
      <c r="A181" t="s">
        <v>450</v>
      </c>
      <c r="B181" t="s">
        <v>507</v>
      </c>
      <c r="C181" t="s">
        <v>508</v>
      </c>
      <c r="D181" s="4">
        <v>19000000000</v>
      </c>
      <c r="E181" s="5">
        <v>45451</v>
      </c>
      <c r="F181">
        <v>25</v>
      </c>
      <c r="G181" t="b">
        <v>0</v>
      </c>
      <c r="I181" t="str">
        <f t="shared" si="2"/>
        <v>huggingface/zai-org/cogvlm2-llama3-chat-19B-tgi</v>
      </c>
    </row>
    <row r="182" spans="1:9" hidden="1" x14ac:dyDescent="0.75">
      <c r="A182" t="s">
        <v>450</v>
      </c>
      <c r="B182" t="s">
        <v>509</v>
      </c>
      <c r="C182" t="s">
        <v>510</v>
      </c>
      <c r="D182" s="4">
        <v>19000000000</v>
      </c>
      <c r="E182" s="5">
        <v>45451</v>
      </c>
      <c r="F182">
        <v>24</v>
      </c>
      <c r="G182" t="b">
        <v>0</v>
      </c>
      <c r="I182" t="str">
        <f t="shared" si="2"/>
        <v>huggingface/zai-org/cogvlm2-llama3-chinese-chat-19B-tgi</v>
      </c>
    </row>
    <row r="183" spans="1:9" hidden="1" x14ac:dyDescent="0.75">
      <c r="A183" t="s">
        <v>450</v>
      </c>
      <c r="B183" t="s">
        <v>511</v>
      </c>
      <c r="C183" t="s">
        <v>512</v>
      </c>
      <c r="D183" s="4">
        <v>9000000000</v>
      </c>
      <c r="E183" s="5">
        <v>45447</v>
      </c>
      <c r="F183">
        <v>68292</v>
      </c>
      <c r="G183" t="b">
        <v>0</v>
      </c>
      <c r="I183" t="str">
        <f t="shared" si="2"/>
        <v>huggingface/zai-org/glm-4-9b-chat</v>
      </c>
    </row>
    <row r="184" spans="1:9" hidden="1" x14ac:dyDescent="0.75">
      <c r="A184" t="s">
        <v>450</v>
      </c>
      <c r="B184" t="s">
        <v>513</v>
      </c>
      <c r="C184" t="s">
        <v>514</v>
      </c>
      <c r="D184" s="4">
        <v>9000000000</v>
      </c>
      <c r="E184" s="5">
        <v>45447</v>
      </c>
      <c r="F184">
        <v>3588</v>
      </c>
      <c r="G184" t="b">
        <v>0</v>
      </c>
      <c r="I184" t="str">
        <f t="shared" si="2"/>
        <v>huggingface/zai-org/glm-4-9b-chat-1m</v>
      </c>
    </row>
    <row r="185" spans="1:9" hidden="1" x14ac:dyDescent="0.75">
      <c r="A185" t="s">
        <v>450</v>
      </c>
      <c r="B185" t="s">
        <v>515</v>
      </c>
      <c r="C185" t="s">
        <v>516</v>
      </c>
      <c r="D185" s="4">
        <v>19000000000</v>
      </c>
      <c r="E185" s="5">
        <v>45436</v>
      </c>
      <c r="F185">
        <v>279</v>
      </c>
      <c r="G185" t="b">
        <v>0</v>
      </c>
      <c r="I185" t="str">
        <f t="shared" si="2"/>
        <v>huggingface/zai-org/cogvlm2-llama3-chat-19B-int4</v>
      </c>
    </row>
    <row r="186" spans="1:9" hidden="1" x14ac:dyDescent="0.75">
      <c r="A186" t="s">
        <v>450</v>
      </c>
      <c r="B186" t="s">
        <v>517</v>
      </c>
      <c r="C186" t="s">
        <v>518</v>
      </c>
      <c r="D186" s="4">
        <v>19000000000</v>
      </c>
      <c r="E186" s="5">
        <v>45436</v>
      </c>
      <c r="F186">
        <v>21</v>
      </c>
      <c r="G186" t="b">
        <v>0</v>
      </c>
      <c r="I186" t="str">
        <f t="shared" si="2"/>
        <v>huggingface/zai-org/cogvlm2-llama3-chinese-chat-19B-int4</v>
      </c>
    </row>
    <row r="187" spans="1:9" hidden="1" x14ac:dyDescent="0.75">
      <c r="A187" t="s">
        <v>450</v>
      </c>
      <c r="B187" t="s">
        <v>519</v>
      </c>
      <c r="C187" t="s">
        <v>520</v>
      </c>
      <c r="D187" s="4">
        <v>19000000000</v>
      </c>
      <c r="E187" s="5">
        <v>45428</v>
      </c>
      <c r="F187">
        <v>3509</v>
      </c>
      <c r="G187" t="b">
        <v>0</v>
      </c>
      <c r="I187" t="str">
        <f t="shared" si="2"/>
        <v>huggingface/zai-org/cogvlm2-llama3-chat-19B</v>
      </c>
    </row>
    <row r="188" spans="1:9" hidden="1" x14ac:dyDescent="0.75">
      <c r="A188" t="s">
        <v>450</v>
      </c>
      <c r="B188" t="s">
        <v>521</v>
      </c>
      <c r="C188" t="s">
        <v>522</v>
      </c>
      <c r="D188" s="4">
        <v>19000000000</v>
      </c>
      <c r="E188" s="5">
        <v>45428</v>
      </c>
      <c r="F188">
        <v>87</v>
      </c>
      <c r="G188" t="b">
        <v>0</v>
      </c>
      <c r="I188" t="str">
        <f t="shared" si="2"/>
        <v>huggingface/zai-org/cogvlm2-llama3-chinese-chat-19B</v>
      </c>
    </row>
    <row r="189" spans="1:9" hidden="1" x14ac:dyDescent="0.75">
      <c r="A189" t="s">
        <v>450</v>
      </c>
      <c r="B189" t="s">
        <v>523</v>
      </c>
      <c r="C189" t="s">
        <v>524</v>
      </c>
      <c r="D189" s="4">
        <v>6000000000</v>
      </c>
      <c r="E189" s="5">
        <v>45321</v>
      </c>
      <c r="F189">
        <v>25</v>
      </c>
      <c r="G189" t="b">
        <v>0</v>
      </c>
      <c r="I189" t="str">
        <f t="shared" si="2"/>
        <v>huggingface/zai-org/chatglm3-6b-128k</v>
      </c>
    </row>
    <row r="190" spans="1:9" hidden="1" x14ac:dyDescent="0.75">
      <c r="A190" t="s">
        <v>450</v>
      </c>
      <c r="B190" t="s">
        <v>525</v>
      </c>
      <c r="C190" t="s">
        <v>526</v>
      </c>
      <c r="E190" s="5">
        <v>45275</v>
      </c>
      <c r="F190">
        <v>264</v>
      </c>
      <c r="G190" t="b">
        <v>0</v>
      </c>
      <c r="I190" t="str">
        <f t="shared" si="2"/>
        <v>huggingface/zai-org/cogagent-chat-hf</v>
      </c>
    </row>
    <row r="191" spans="1:9" hidden="1" x14ac:dyDescent="0.75">
      <c r="A191" t="s">
        <v>450</v>
      </c>
      <c r="B191" t="s">
        <v>527</v>
      </c>
      <c r="C191" t="s">
        <v>528</v>
      </c>
      <c r="E191" s="5">
        <v>45246</v>
      </c>
      <c r="F191">
        <v>2219</v>
      </c>
      <c r="G191" t="b">
        <v>0</v>
      </c>
      <c r="I191" t="str">
        <f t="shared" si="2"/>
        <v>huggingface/zai-org/cogvlm-chat-hf</v>
      </c>
    </row>
    <row r="192" spans="1:9" hidden="1" x14ac:dyDescent="0.75">
      <c r="A192" t="s">
        <v>450</v>
      </c>
      <c r="B192" t="s">
        <v>529</v>
      </c>
      <c r="C192" t="s">
        <v>530</v>
      </c>
      <c r="D192" s="4">
        <v>6000000000</v>
      </c>
      <c r="E192" s="5">
        <v>45225</v>
      </c>
      <c r="F192">
        <v>4030</v>
      </c>
      <c r="G192" t="b">
        <v>0</v>
      </c>
      <c r="I192" t="str">
        <f t="shared" si="2"/>
        <v>huggingface/zai-org/chatglm3-6b-base</v>
      </c>
    </row>
    <row r="193" spans="1:9" hidden="1" x14ac:dyDescent="0.75">
      <c r="A193" t="s">
        <v>450</v>
      </c>
      <c r="B193" t="s">
        <v>531</v>
      </c>
      <c r="C193" t="s">
        <v>532</v>
      </c>
      <c r="D193" s="4">
        <v>6000000000</v>
      </c>
      <c r="E193" s="5">
        <v>45225</v>
      </c>
      <c r="F193">
        <v>199</v>
      </c>
      <c r="G193" t="b">
        <v>0</v>
      </c>
      <c r="I193" t="str">
        <f t="shared" si="2"/>
        <v>huggingface/zai-org/chatglm3-6b-32k</v>
      </c>
    </row>
    <row r="194" spans="1:9" hidden="1" x14ac:dyDescent="0.75">
      <c r="A194" t="s">
        <v>450</v>
      </c>
      <c r="B194" t="s">
        <v>533</v>
      </c>
      <c r="C194" t="s">
        <v>534</v>
      </c>
      <c r="D194" s="4">
        <v>6000000000</v>
      </c>
      <c r="E194" s="5">
        <v>45224</v>
      </c>
      <c r="F194">
        <v>327282</v>
      </c>
      <c r="G194" t="b">
        <v>0</v>
      </c>
      <c r="I194" t="str">
        <f t="shared" si="2"/>
        <v>huggingface/zai-org/chatglm3-6b</v>
      </c>
    </row>
    <row r="195" spans="1:9" hidden="1" x14ac:dyDescent="0.75">
      <c r="A195" t="s">
        <v>450</v>
      </c>
      <c r="B195" t="s">
        <v>535</v>
      </c>
      <c r="C195" t="s">
        <v>536</v>
      </c>
      <c r="D195" s="4">
        <v>6000000000</v>
      </c>
      <c r="E195" s="5">
        <v>45142</v>
      </c>
      <c r="F195">
        <v>24</v>
      </c>
      <c r="G195" t="b">
        <v>0</v>
      </c>
      <c r="I195" t="str">
        <f t="shared" ref="I195:I258" si="3">"huggingface/"&amp;A195&amp;"/"&amp;B195</f>
        <v>huggingface/zai-org/chatglm2-6b-32k-int4</v>
      </c>
    </row>
    <row r="196" spans="1:9" hidden="1" x14ac:dyDescent="0.75">
      <c r="A196" t="s">
        <v>450</v>
      </c>
      <c r="B196" t="s">
        <v>537</v>
      </c>
      <c r="C196" t="s">
        <v>538</v>
      </c>
      <c r="D196" s="4">
        <v>6000000000</v>
      </c>
      <c r="E196" s="5">
        <v>45137</v>
      </c>
      <c r="F196">
        <v>1143</v>
      </c>
      <c r="G196" t="b">
        <v>0</v>
      </c>
      <c r="I196" t="str">
        <f t="shared" si="3"/>
        <v>huggingface/zai-org/chatglm2-6b-32k</v>
      </c>
    </row>
    <row r="197" spans="1:9" hidden="1" x14ac:dyDescent="0.75">
      <c r="A197" t="s">
        <v>450</v>
      </c>
      <c r="B197" t="s">
        <v>539</v>
      </c>
      <c r="C197" t="s">
        <v>540</v>
      </c>
      <c r="D197" s="4">
        <v>6000000000</v>
      </c>
      <c r="E197" s="5">
        <v>45102</v>
      </c>
      <c r="F197">
        <v>657</v>
      </c>
      <c r="G197" t="b">
        <v>0</v>
      </c>
      <c r="I197" t="str">
        <f t="shared" si="3"/>
        <v>huggingface/zai-org/chatglm2-6b-int4</v>
      </c>
    </row>
    <row r="198" spans="1:9" hidden="1" x14ac:dyDescent="0.75">
      <c r="A198" t="s">
        <v>450</v>
      </c>
      <c r="B198" t="s">
        <v>541</v>
      </c>
      <c r="C198" t="s">
        <v>542</v>
      </c>
      <c r="D198" s="4">
        <v>6000000000</v>
      </c>
      <c r="E198" s="5">
        <v>45101</v>
      </c>
      <c r="F198">
        <v>794358</v>
      </c>
      <c r="G198" t="b">
        <v>0</v>
      </c>
      <c r="I198" t="str">
        <f t="shared" si="3"/>
        <v>huggingface/zai-org/chatglm2-6b</v>
      </c>
    </row>
    <row r="199" spans="1:9" hidden="1" x14ac:dyDescent="0.75">
      <c r="A199" t="s">
        <v>450</v>
      </c>
      <c r="B199" t="s">
        <v>543</v>
      </c>
      <c r="C199" t="s">
        <v>544</v>
      </c>
      <c r="D199" s="4">
        <v>6000000000</v>
      </c>
      <c r="E199" s="5">
        <v>45030</v>
      </c>
      <c r="F199">
        <v>50</v>
      </c>
      <c r="G199" t="b">
        <v>0</v>
      </c>
      <c r="I199" t="str">
        <f t="shared" si="3"/>
        <v>huggingface/zai-org/chatglm-6b-int8</v>
      </c>
    </row>
    <row r="200" spans="1:9" hidden="1" x14ac:dyDescent="0.75">
      <c r="A200" t="s">
        <v>450</v>
      </c>
      <c r="B200" t="s">
        <v>545</v>
      </c>
      <c r="C200" t="s">
        <v>546</v>
      </c>
      <c r="D200" s="4">
        <v>6000000000</v>
      </c>
      <c r="E200" s="5">
        <v>45005</v>
      </c>
      <c r="F200">
        <v>56</v>
      </c>
      <c r="G200" t="b">
        <v>0</v>
      </c>
      <c r="I200" t="str">
        <f t="shared" si="3"/>
        <v>huggingface/zai-org/chatglm-6b-int4-qe</v>
      </c>
    </row>
    <row r="201" spans="1:9" hidden="1" x14ac:dyDescent="0.75">
      <c r="A201" t="s">
        <v>450</v>
      </c>
      <c r="B201" t="s">
        <v>547</v>
      </c>
      <c r="C201" t="s">
        <v>548</v>
      </c>
      <c r="D201" s="4">
        <v>6000000000</v>
      </c>
      <c r="E201" s="5">
        <v>45004</v>
      </c>
      <c r="F201">
        <v>608</v>
      </c>
      <c r="G201" t="b">
        <v>0</v>
      </c>
      <c r="I201" t="str">
        <f t="shared" si="3"/>
        <v>huggingface/zai-org/chatglm-6b-int4</v>
      </c>
    </row>
    <row r="202" spans="1:9" hidden="1" x14ac:dyDescent="0.75">
      <c r="A202" t="s">
        <v>450</v>
      </c>
      <c r="B202" t="s">
        <v>549</v>
      </c>
      <c r="C202" t="s">
        <v>550</v>
      </c>
      <c r="D202" s="4">
        <v>6000000000</v>
      </c>
      <c r="E202" s="5">
        <v>44998</v>
      </c>
      <c r="F202">
        <v>3256</v>
      </c>
      <c r="G202" t="b">
        <v>0</v>
      </c>
      <c r="I202" t="str">
        <f t="shared" si="3"/>
        <v>huggingface/zai-org/chatglm-6b</v>
      </c>
    </row>
    <row r="203" spans="1:9" hidden="1" x14ac:dyDescent="0.75">
      <c r="A203" t="s">
        <v>551</v>
      </c>
      <c r="B203" t="s">
        <v>552</v>
      </c>
      <c r="C203" s="2" t="s">
        <v>553</v>
      </c>
      <c r="E203" s="5">
        <v>45845</v>
      </c>
      <c r="F203">
        <v>7356</v>
      </c>
      <c r="G203" t="b">
        <v>0</v>
      </c>
      <c r="I203" t="str">
        <f t="shared" si="3"/>
        <v>huggingface/mistralai/Devstral-Small-2507_gguf</v>
      </c>
    </row>
    <row r="204" spans="1:9" hidden="1" x14ac:dyDescent="0.75">
      <c r="A204" t="s">
        <v>551</v>
      </c>
      <c r="B204" t="s">
        <v>554</v>
      </c>
      <c r="C204" t="s">
        <v>555</v>
      </c>
      <c r="D204" s="4">
        <v>24000000000</v>
      </c>
      <c r="E204" s="5">
        <v>45827</v>
      </c>
      <c r="F204">
        <v>360748</v>
      </c>
      <c r="G204" t="b">
        <v>0</v>
      </c>
      <c r="I204" t="str">
        <f t="shared" si="3"/>
        <v>huggingface/mistralai/Mistral-Small-3.2-24B-Instruct-2506</v>
      </c>
    </row>
    <row r="205" spans="1:9" hidden="1" x14ac:dyDescent="0.75">
      <c r="A205" t="s">
        <v>551</v>
      </c>
      <c r="B205" t="s">
        <v>556</v>
      </c>
      <c r="C205" t="s">
        <v>557</v>
      </c>
      <c r="E205" s="5">
        <v>45817</v>
      </c>
      <c r="F205">
        <v>3445</v>
      </c>
      <c r="G205" t="b">
        <v>0</v>
      </c>
      <c r="I205" t="str">
        <f t="shared" si="3"/>
        <v>huggingface/mistralai/Magistral-Small-2506_gguf</v>
      </c>
    </row>
    <row r="206" spans="1:9" hidden="1" x14ac:dyDescent="0.75">
      <c r="A206" t="s">
        <v>551</v>
      </c>
      <c r="B206" t="s">
        <v>558</v>
      </c>
      <c r="C206" t="s">
        <v>559</v>
      </c>
      <c r="E206" s="5">
        <v>45812</v>
      </c>
      <c r="F206">
        <v>32234</v>
      </c>
      <c r="G206" t="b">
        <v>0</v>
      </c>
      <c r="I206" t="str">
        <f t="shared" si="3"/>
        <v>huggingface/mistralai/Magistral-Small-2506</v>
      </c>
    </row>
    <row r="207" spans="1:9" hidden="1" x14ac:dyDescent="0.75">
      <c r="A207" t="s">
        <v>551</v>
      </c>
      <c r="B207" t="s">
        <v>560</v>
      </c>
      <c r="C207" t="s">
        <v>561</v>
      </c>
      <c r="E207" s="5">
        <v>45796</v>
      </c>
      <c r="F207">
        <v>1843</v>
      </c>
      <c r="G207" t="b">
        <v>0</v>
      </c>
      <c r="I207" t="str">
        <f t="shared" si="3"/>
        <v>huggingface/mistralai/Devstral-Small-2505_gguf</v>
      </c>
    </row>
    <row r="208" spans="1:9" hidden="1" x14ac:dyDescent="0.75">
      <c r="A208" t="s">
        <v>551</v>
      </c>
      <c r="B208" t="s">
        <v>562</v>
      </c>
      <c r="C208" t="s">
        <v>563</v>
      </c>
      <c r="E208" s="5">
        <v>45737</v>
      </c>
      <c r="F208">
        <v>106</v>
      </c>
      <c r="G208" t="b">
        <v>0</v>
      </c>
      <c r="I208" t="str">
        <f t="shared" si="3"/>
        <v>huggingface/mistralai/Mistral-Nemo-Instruct-FP8-2407</v>
      </c>
    </row>
    <row r="209" spans="1:9" hidden="1" x14ac:dyDescent="0.75">
      <c r="A209" t="s">
        <v>551</v>
      </c>
      <c r="B209" t="s">
        <v>564</v>
      </c>
      <c r="C209" t="s">
        <v>565</v>
      </c>
      <c r="D209" s="4">
        <v>24000000000</v>
      </c>
      <c r="E209" s="5">
        <v>45727</v>
      </c>
      <c r="F209">
        <v>229676</v>
      </c>
      <c r="G209" t="b">
        <v>0</v>
      </c>
      <c r="I209" t="str">
        <f t="shared" si="3"/>
        <v>huggingface/mistralai/Mistral-Small-3.1-24B-Instruct-2503</v>
      </c>
    </row>
    <row r="210" spans="1:9" hidden="1" x14ac:dyDescent="0.75">
      <c r="A210" t="s">
        <v>551</v>
      </c>
      <c r="B210" t="s">
        <v>566</v>
      </c>
      <c r="C210" s="2" t="s">
        <v>567</v>
      </c>
      <c r="D210" s="4">
        <v>24000000000</v>
      </c>
      <c r="E210" s="5">
        <v>45685</v>
      </c>
      <c r="F210">
        <v>101795</v>
      </c>
      <c r="G210" t="b">
        <v>0</v>
      </c>
      <c r="I210" t="str">
        <f t="shared" si="3"/>
        <v>huggingface/mistralai/Mistral-Small-24B-Instruct-2501</v>
      </c>
    </row>
    <row r="211" spans="1:9" hidden="1" x14ac:dyDescent="0.75">
      <c r="A211" t="s">
        <v>551</v>
      </c>
      <c r="B211" t="s">
        <v>568</v>
      </c>
      <c r="C211" t="s">
        <v>569</v>
      </c>
      <c r="E211" s="5">
        <v>45610</v>
      </c>
      <c r="F211">
        <v>5418</v>
      </c>
      <c r="G211" t="b">
        <v>0</v>
      </c>
      <c r="I211" t="str">
        <f t="shared" si="3"/>
        <v>huggingface/mistralai/Mistral-Large-Instruct-2411</v>
      </c>
    </row>
    <row r="212" spans="1:9" hidden="1" x14ac:dyDescent="0.75">
      <c r="A212" t="s">
        <v>551</v>
      </c>
      <c r="B212" t="s">
        <v>570</v>
      </c>
      <c r="C212" t="s">
        <v>571</v>
      </c>
      <c r="E212" s="5">
        <v>45610</v>
      </c>
      <c r="F212">
        <v>93</v>
      </c>
      <c r="G212" t="b">
        <v>0</v>
      </c>
      <c r="I212" t="str">
        <f t="shared" si="3"/>
        <v>huggingface/mistralai/Pixtral-Large-Instruct-2411</v>
      </c>
    </row>
    <row r="213" spans="1:9" hidden="1" x14ac:dyDescent="0.75">
      <c r="A213" t="s">
        <v>551</v>
      </c>
      <c r="B213" t="s">
        <v>572</v>
      </c>
      <c r="C213" t="s">
        <v>573</v>
      </c>
      <c r="D213" s="4">
        <v>8000000000</v>
      </c>
      <c r="E213" s="5">
        <v>45580</v>
      </c>
      <c r="F213">
        <v>160763</v>
      </c>
      <c r="G213" t="b">
        <v>0</v>
      </c>
      <c r="I213" t="str">
        <f t="shared" si="3"/>
        <v>huggingface/mistralai/Ministral-8B-Instruct-2410</v>
      </c>
    </row>
    <row r="214" spans="1:9" hidden="1" x14ac:dyDescent="0.75">
      <c r="A214" t="s">
        <v>551</v>
      </c>
      <c r="B214" t="s">
        <v>574</v>
      </c>
      <c r="C214" s="2" t="s">
        <v>575</v>
      </c>
      <c r="E214" s="5">
        <v>45552</v>
      </c>
      <c r="F214">
        <v>7414</v>
      </c>
      <c r="G214" t="b">
        <v>0</v>
      </c>
      <c r="I214" t="str">
        <f t="shared" si="3"/>
        <v>huggingface/mistralai/Mistral-Small-Instruct-2409</v>
      </c>
    </row>
    <row r="215" spans="1:9" hidden="1" x14ac:dyDescent="0.75">
      <c r="A215" t="s">
        <v>551</v>
      </c>
      <c r="B215" t="s">
        <v>576</v>
      </c>
      <c r="C215" t="s">
        <v>577</v>
      </c>
      <c r="E215" s="5">
        <v>45497</v>
      </c>
      <c r="F215">
        <v>10410</v>
      </c>
      <c r="G215" t="b">
        <v>0</v>
      </c>
      <c r="I215" t="str">
        <f t="shared" si="3"/>
        <v>huggingface/mistralai/Mistral-Large-Instruct-2407</v>
      </c>
    </row>
    <row r="216" spans="1:9" hidden="1" x14ac:dyDescent="0.75">
      <c r="A216" t="s">
        <v>551</v>
      </c>
      <c r="B216" t="s">
        <v>578</v>
      </c>
      <c r="C216" t="s">
        <v>579</v>
      </c>
      <c r="E216" s="5">
        <v>45490</v>
      </c>
      <c r="F216">
        <v>176808</v>
      </c>
      <c r="G216" t="b">
        <v>0</v>
      </c>
      <c r="I216" t="str">
        <f t="shared" si="3"/>
        <v>huggingface/mistralai/Mistral-Nemo-Instruct-2407</v>
      </c>
    </row>
    <row r="217" spans="1:9" hidden="1" x14ac:dyDescent="0.75">
      <c r="A217" t="s">
        <v>551</v>
      </c>
      <c r="B217" t="s">
        <v>580</v>
      </c>
      <c r="C217" t="s">
        <v>581</v>
      </c>
      <c r="D217" s="4">
        <v>7000000000</v>
      </c>
      <c r="E217" s="5">
        <v>45434</v>
      </c>
      <c r="F217">
        <v>821666</v>
      </c>
      <c r="G217" t="b">
        <v>0</v>
      </c>
      <c r="I217" t="str">
        <f t="shared" si="3"/>
        <v>huggingface/mistralai/Mistral-7B-Instruct-v0.3</v>
      </c>
    </row>
    <row r="218" spans="1:9" hidden="1" x14ac:dyDescent="0.75">
      <c r="A218" t="s">
        <v>551</v>
      </c>
      <c r="B218" t="s">
        <v>582</v>
      </c>
      <c r="C218" t="s">
        <v>583</v>
      </c>
      <c r="D218" s="4">
        <v>22000000000</v>
      </c>
      <c r="E218" s="5">
        <v>45398</v>
      </c>
      <c r="F218">
        <v>8702</v>
      </c>
      <c r="G218" t="b">
        <v>0</v>
      </c>
      <c r="I218" t="str">
        <f t="shared" si="3"/>
        <v>huggingface/mistralai/Mixtral-8x22B-Instruct-v0.1</v>
      </c>
    </row>
    <row r="219" spans="1:9" hidden="1" x14ac:dyDescent="0.75">
      <c r="A219" t="s">
        <v>551</v>
      </c>
      <c r="B219" t="s">
        <v>584</v>
      </c>
      <c r="C219" t="s">
        <v>585</v>
      </c>
      <c r="D219" s="4">
        <v>7000000000</v>
      </c>
      <c r="E219" s="5">
        <v>45271</v>
      </c>
      <c r="F219">
        <v>688762</v>
      </c>
      <c r="G219" t="b">
        <v>0</v>
      </c>
      <c r="I219" t="str">
        <f t="shared" si="3"/>
        <v>huggingface/mistralai/Mistral-7B-Instruct-v0.2</v>
      </c>
    </row>
    <row r="220" spans="1:9" hidden="1" x14ac:dyDescent="0.75">
      <c r="A220" t="s">
        <v>551</v>
      </c>
      <c r="B220" t="s">
        <v>586</v>
      </c>
      <c r="C220" t="s">
        <v>587</v>
      </c>
      <c r="D220" s="4">
        <v>7000000000</v>
      </c>
      <c r="E220" s="5">
        <v>45270</v>
      </c>
      <c r="F220">
        <v>350209</v>
      </c>
      <c r="G220" t="b">
        <v>0</v>
      </c>
      <c r="I220" t="str">
        <f t="shared" si="3"/>
        <v>huggingface/mistralai/Mixtral-8x7B-Instruct-v0.1</v>
      </c>
    </row>
    <row r="221" spans="1:9" hidden="1" x14ac:dyDescent="0.75">
      <c r="A221" t="s">
        <v>551</v>
      </c>
      <c r="B221" t="s">
        <v>588</v>
      </c>
      <c r="C221" t="s">
        <v>589</v>
      </c>
      <c r="D221" s="4">
        <v>7000000000</v>
      </c>
      <c r="E221" s="5">
        <v>45196</v>
      </c>
      <c r="F221">
        <v>189502</v>
      </c>
      <c r="G221" t="b">
        <v>0</v>
      </c>
      <c r="I221" t="str">
        <f t="shared" si="3"/>
        <v>huggingface/mistralai/Mistral-7B-Instruct-v0.1</v>
      </c>
    </row>
    <row r="222" spans="1:9" hidden="1" x14ac:dyDescent="0.75">
      <c r="A222" t="s">
        <v>590</v>
      </c>
      <c r="B222" t="s">
        <v>591</v>
      </c>
      <c r="C222" s="2" t="s">
        <v>592</v>
      </c>
      <c r="D222" s="4">
        <v>12000000000</v>
      </c>
      <c r="E222" s="5">
        <v>45770</v>
      </c>
      <c r="F222">
        <v>24004</v>
      </c>
      <c r="G222" t="b">
        <v>0</v>
      </c>
      <c r="I222" t="str">
        <f t="shared" si="3"/>
        <v>huggingface/meta-llama/Llama-Guard-4-12B</v>
      </c>
    </row>
    <row r="223" spans="1:9" hidden="1" x14ac:dyDescent="0.75">
      <c r="A223" t="s">
        <v>590</v>
      </c>
      <c r="B223" t="s">
        <v>593</v>
      </c>
      <c r="C223" t="s">
        <v>594</v>
      </c>
      <c r="D223" s="4">
        <v>17000000000</v>
      </c>
      <c r="E223" s="5">
        <v>45751</v>
      </c>
      <c r="F223">
        <v>15</v>
      </c>
      <c r="G223" t="b">
        <v>0</v>
      </c>
      <c r="I223" t="str">
        <f t="shared" si="3"/>
        <v>huggingface/meta-llama/Llama-4-Maverick-17B-128E-Instruct-Original</v>
      </c>
    </row>
    <row r="224" spans="1:9" hidden="1" x14ac:dyDescent="0.75">
      <c r="A224" t="s">
        <v>590</v>
      </c>
      <c r="B224" t="s">
        <v>595</v>
      </c>
      <c r="C224" t="s">
        <v>596</v>
      </c>
      <c r="D224" s="4">
        <v>17000000000</v>
      </c>
      <c r="E224" s="5">
        <v>45751</v>
      </c>
      <c r="F224">
        <v>10</v>
      </c>
      <c r="G224" t="b">
        <v>0</v>
      </c>
      <c r="I224" t="str">
        <f t="shared" si="3"/>
        <v>huggingface/meta-llama/Llama-4-Maverick-17B-128E-Instruct-FP8-Original</v>
      </c>
    </row>
    <row r="225" spans="1:9" hidden="1" x14ac:dyDescent="0.75">
      <c r="A225" t="s">
        <v>590</v>
      </c>
      <c r="B225" t="s">
        <v>597</v>
      </c>
      <c r="C225" t="s">
        <v>598</v>
      </c>
      <c r="D225" s="4">
        <v>17000000000</v>
      </c>
      <c r="E225" s="5">
        <v>45750</v>
      </c>
      <c r="F225">
        <v>65</v>
      </c>
      <c r="G225" t="b">
        <v>0</v>
      </c>
      <c r="I225" t="str">
        <f t="shared" si="3"/>
        <v>huggingface/meta-llama/Llama-4-Scout-17B-16E-Instruct-Original</v>
      </c>
    </row>
    <row r="226" spans="1:9" x14ac:dyDescent="0.75">
      <c r="A226" t="s">
        <v>590</v>
      </c>
      <c r="B226" t="s">
        <v>599</v>
      </c>
      <c r="C226" t="s">
        <v>600</v>
      </c>
      <c r="D226" s="4">
        <v>17000000000</v>
      </c>
      <c r="E226" s="5">
        <v>45749</v>
      </c>
      <c r="F226">
        <v>707425</v>
      </c>
      <c r="G226" t="b">
        <v>1</v>
      </c>
      <c r="I226" t="str">
        <f t="shared" si="3"/>
        <v>huggingface/meta-llama/Llama-4-Scout-17B-16E-Instruct</v>
      </c>
    </row>
    <row r="227" spans="1:9" hidden="1" x14ac:dyDescent="0.75">
      <c r="A227" t="s">
        <v>590</v>
      </c>
      <c r="B227" t="s">
        <v>601</v>
      </c>
      <c r="C227" s="2" t="s">
        <v>602</v>
      </c>
      <c r="D227" s="4">
        <v>17000000000</v>
      </c>
      <c r="E227" s="5">
        <v>45749</v>
      </c>
      <c r="F227">
        <v>39168</v>
      </c>
      <c r="G227" t="b">
        <v>0</v>
      </c>
      <c r="I227" t="str">
        <f t="shared" si="3"/>
        <v>huggingface/meta-llama/Llama-4-Scout-17B-16E</v>
      </c>
    </row>
    <row r="228" spans="1:9" hidden="1" x14ac:dyDescent="0.75">
      <c r="A228" t="s">
        <v>590</v>
      </c>
      <c r="B228" t="s">
        <v>603</v>
      </c>
      <c r="C228" t="s">
        <v>604</v>
      </c>
      <c r="D228" s="4">
        <v>17000000000</v>
      </c>
      <c r="E228" s="5">
        <v>45749</v>
      </c>
      <c r="F228">
        <v>2905</v>
      </c>
      <c r="G228" t="b">
        <v>0</v>
      </c>
      <c r="I228" t="str">
        <f t="shared" si="3"/>
        <v>huggingface/meta-llama/Llama-4-Maverick-17B-128E</v>
      </c>
    </row>
    <row r="229" spans="1:9" x14ac:dyDescent="0.75">
      <c r="A229" t="s">
        <v>590</v>
      </c>
      <c r="B229" t="s">
        <v>605</v>
      </c>
      <c r="C229" t="s">
        <v>606</v>
      </c>
      <c r="D229" s="4">
        <v>17000000000</v>
      </c>
      <c r="E229" s="5">
        <v>45748</v>
      </c>
      <c r="F229">
        <v>108946</v>
      </c>
      <c r="G229" t="b">
        <v>1</v>
      </c>
      <c r="I229" t="str">
        <f t="shared" si="3"/>
        <v>huggingface/meta-llama/Llama-4-Maverick-17B-128E-Instruct-FP8</v>
      </c>
    </row>
    <row r="230" spans="1:9" x14ac:dyDescent="0.75">
      <c r="A230" t="s">
        <v>590</v>
      </c>
      <c r="B230" t="s">
        <v>607</v>
      </c>
      <c r="C230" t="s">
        <v>608</v>
      </c>
      <c r="D230" s="4">
        <v>17000000000</v>
      </c>
      <c r="E230" s="5">
        <v>45748</v>
      </c>
      <c r="F230">
        <v>48052</v>
      </c>
      <c r="G230" t="b">
        <v>1</v>
      </c>
      <c r="I230" t="str">
        <f t="shared" si="3"/>
        <v>huggingface/meta-llama/Llama-4-Maverick-17B-128E-Instruct</v>
      </c>
    </row>
    <row r="231" spans="1:9" x14ac:dyDescent="0.75">
      <c r="A231" t="s">
        <v>590</v>
      </c>
      <c r="B231" t="s">
        <v>609</v>
      </c>
      <c r="C231" t="s">
        <v>610</v>
      </c>
      <c r="D231" s="4">
        <v>70000000000</v>
      </c>
      <c r="E231" s="5">
        <v>45622</v>
      </c>
      <c r="F231">
        <v>423009</v>
      </c>
      <c r="G231" t="b">
        <v>1</v>
      </c>
      <c r="I231" t="str">
        <f t="shared" si="3"/>
        <v>huggingface/meta-llama/Llama-3.3-70B-Instruct</v>
      </c>
    </row>
    <row r="232" spans="1:9" hidden="1" x14ac:dyDescent="0.75">
      <c r="A232" t="s">
        <v>590</v>
      </c>
      <c r="B232" t="s">
        <v>611</v>
      </c>
      <c r="C232" t="s">
        <v>612</v>
      </c>
      <c r="D232" s="4">
        <v>1000000000</v>
      </c>
      <c r="E232" s="5">
        <v>45588</v>
      </c>
      <c r="F232">
        <v>368</v>
      </c>
      <c r="G232" t="b">
        <v>0</v>
      </c>
      <c r="I232" t="str">
        <f t="shared" si="3"/>
        <v>huggingface/meta-llama/Llama-3.2-1B-Instruct-QLORA_INT4_EO8</v>
      </c>
    </row>
    <row r="233" spans="1:9" hidden="1" x14ac:dyDescent="0.75">
      <c r="A233" t="s">
        <v>590</v>
      </c>
      <c r="B233" t="s">
        <v>613</v>
      </c>
      <c r="C233" t="s">
        <v>614</v>
      </c>
      <c r="D233" s="4">
        <v>1000000000</v>
      </c>
      <c r="E233" s="5">
        <v>45588</v>
      </c>
      <c r="F233">
        <v>366</v>
      </c>
      <c r="G233" t="b">
        <v>0</v>
      </c>
      <c r="I233" t="str">
        <f t="shared" si="3"/>
        <v>huggingface/meta-llama/Llama-3.2-1B-Instruct-SpinQuant_INT4_EO8</v>
      </c>
    </row>
    <row r="234" spans="1:9" hidden="1" x14ac:dyDescent="0.75">
      <c r="A234" t="s">
        <v>590</v>
      </c>
      <c r="B234" t="s">
        <v>615</v>
      </c>
      <c r="C234" t="s">
        <v>616</v>
      </c>
      <c r="D234" s="4">
        <v>3000000000</v>
      </c>
      <c r="E234" s="5">
        <v>45588</v>
      </c>
      <c r="F234">
        <v>222</v>
      </c>
      <c r="G234" t="b">
        <v>0</v>
      </c>
      <c r="I234" t="str">
        <f t="shared" si="3"/>
        <v>huggingface/meta-llama/Llama-3.2-3B-Instruct-QLORA_INT4_EO8</v>
      </c>
    </row>
    <row r="235" spans="1:9" hidden="1" x14ac:dyDescent="0.75">
      <c r="A235" t="s">
        <v>590</v>
      </c>
      <c r="B235" t="s">
        <v>617</v>
      </c>
      <c r="C235" t="s">
        <v>618</v>
      </c>
      <c r="D235" s="4">
        <v>3000000000</v>
      </c>
      <c r="E235" s="5">
        <v>45588</v>
      </c>
      <c r="F235">
        <v>88</v>
      </c>
      <c r="G235" t="b">
        <v>0</v>
      </c>
      <c r="I235" t="str">
        <f t="shared" si="3"/>
        <v>huggingface/meta-llama/Llama-3.2-3B-Instruct-SpinQuant_INT4_EO8</v>
      </c>
    </row>
    <row r="236" spans="1:9" hidden="1" x14ac:dyDescent="0.75">
      <c r="A236" t="s">
        <v>590</v>
      </c>
      <c r="B236" t="s">
        <v>619</v>
      </c>
      <c r="C236" t="s">
        <v>620</v>
      </c>
      <c r="D236" s="4">
        <v>1000000000</v>
      </c>
      <c r="E236" s="5">
        <v>45555</v>
      </c>
      <c r="F236">
        <v>27529</v>
      </c>
      <c r="G236" t="b">
        <v>0</v>
      </c>
      <c r="I236" t="str">
        <f t="shared" si="3"/>
        <v>huggingface/meta-llama/Llama-Guard-3-1B</v>
      </c>
    </row>
    <row r="237" spans="1:9" hidden="1" x14ac:dyDescent="0.75">
      <c r="A237" t="s">
        <v>590</v>
      </c>
      <c r="B237" t="s">
        <v>621</v>
      </c>
      <c r="C237" t="s">
        <v>622</v>
      </c>
      <c r="D237" s="4">
        <v>11000000000</v>
      </c>
      <c r="E237" s="5">
        <v>45555</v>
      </c>
      <c r="F237">
        <v>2640</v>
      </c>
      <c r="G237" t="b">
        <v>0</v>
      </c>
      <c r="I237" t="str">
        <f t="shared" si="3"/>
        <v>huggingface/meta-llama/Llama-Guard-3-11B-Vision</v>
      </c>
    </row>
    <row r="238" spans="1:9" hidden="1" x14ac:dyDescent="0.75">
      <c r="A238" t="s">
        <v>590</v>
      </c>
      <c r="B238" t="s">
        <v>623</v>
      </c>
      <c r="C238" t="s">
        <v>624</v>
      </c>
      <c r="D238" s="4">
        <v>90000000000</v>
      </c>
      <c r="E238" s="5">
        <v>45554</v>
      </c>
      <c r="F238">
        <v>6556</v>
      </c>
      <c r="G238" t="b">
        <v>0</v>
      </c>
      <c r="I238" t="str">
        <f t="shared" si="3"/>
        <v>huggingface/meta-llama/Llama-3.2-90B-Vision-Instruct</v>
      </c>
    </row>
    <row r="239" spans="1:9" x14ac:dyDescent="0.75">
      <c r="A239" t="s">
        <v>590</v>
      </c>
      <c r="B239" t="s">
        <v>625</v>
      </c>
      <c r="C239" t="s">
        <v>626</v>
      </c>
      <c r="D239" s="4">
        <v>1000000000</v>
      </c>
      <c r="E239" s="5">
        <v>45553</v>
      </c>
      <c r="F239">
        <v>3262585</v>
      </c>
      <c r="G239" t="b">
        <v>1</v>
      </c>
      <c r="I239" t="str">
        <f t="shared" si="3"/>
        <v>huggingface/meta-llama/Llama-3.2-1B-Instruct</v>
      </c>
    </row>
    <row r="240" spans="1:9" x14ac:dyDescent="0.75">
      <c r="A240" t="s">
        <v>590</v>
      </c>
      <c r="B240" t="s">
        <v>627</v>
      </c>
      <c r="C240" t="s">
        <v>628</v>
      </c>
      <c r="D240" s="4">
        <v>3000000000</v>
      </c>
      <c r="E240" s="5">
        <v>45553</v>
      </c>
      <c r="F240">
        <v>1505246</v>
      </c>
      <c r="G240" t="b">
        <v>1</v>
      </c>
      <c r="I240" t="str">
        <f t="shared" si="3"/>
        <v>huggingface/meta-llama/Llama-3.2-3B-Instruct</v>
      </c>
    </row>
    <row r="241" spans="1:9" hidden="1" x14ac:dyDescent="0.75">
      <c r="A241" t="s">
        <v>590</v>
      </c>
      <c r="B241" t="s">
        <v>629</v>
      </c>
      <c r="C241" t="s">
        <v>630</v>
      </c>
      <c r="D241" s="4">
        <v>11000000000</v>
      </c>
      <c r="E241" s="5">
        <v>45553</v>
      </c>
      <c r="F241">
        <v>787455</v>
      </c>
      <c r="G241" t="b">
        <v>0</v>
      </c>
      <c r="I241" t="str">
        <f t="shared" si="3"/>
        <v>huggingface/meta-llama/Llama-3.2-11B-Vision-Instruct</v>
      </c>
    </row>
    <row r="242" spans="1:9" hidden="1" x14ac:dyDescent="0.75">
      <c r="A242" t="s">
        <v>590</v>
      </c>
      <c r="B242" t="s">
        <v>631</v>
      </c>
      <c r="C242" t="s">
        <v>632</v>
      </c>
      <c r="D242" s="4">
        <v>8000000000</v>
      </c>
      <c r="E242" s="5">
        <v>45495</v>
      </c>
      <c r="F242">
        <v>324537</v>
      </c>
      <c r="G242" t="b">
        <v>0</v>
      </c>
      <c r="I242" t="str">
        <f t="shared" si="3"/>
        <v>huggingface/meta-llama/Llama-Guard-3-8B</v>
      </c>
    </row>
    <row r="243" spans="1:9" hidden="1" x14ac:dyDescent="0.75">
      <c r="A243" t="s">
        <v>590</v>
      </c>
      <c r="B243" t="s">
        <v>633</v>
      </c>
      <c r="C243" t="s">
        <v>634</v>
      </c>
      <c r="D243" s="4">
        <v>8000000000</v>
      </c>
      <c r="E243" s="5">
        <v>45494</v>
      </c>
      <c r="F243">
        <v>5617</v>
      </c>
      <c r="G243" t="b">
        <v>0</v>
      </c>
      <c r="I243" t="str">
        <f t="shared" si="3"/>
        <v>huggingface/meta-llama/Llama-Guard-3-8B-INT8</v>
      </c>
    </row>
    <row r="244" spans="1:9" hidden="1" x14ac:dyDescent="0.75">
      <c r="A244" t="s">
        <v>590</v>
      </c>
      <c r="B244" t="s">
        <v>635</v>
      </c>
      <c r="C244" t="s">
        <v>636</v>
      </c>
      <c r="D244" s="4">
        <v>405000000000</v>
      </c>
      <c r="E244" s="5">
        <v>45493</v>
      </c>
      <c r="F244">
        <v>6121</v>
      </c>
      <c r="G244" t="b">
        <v>0</v>
      </c>
      <c r="I244" t="str">
        <f t="shared" si="3"/>
        <v>huggingface/meta-llama/Llama-3.1-405B-Instruct-FP8</v>
      </c>
    </row>
    <row r="245" spans="1:9" x14ac:dyDescent="0.75">
      <c r="A245" t="s">
        <v>590</v>
      </c>
      <c r="B245" t="s">
        <v>637</v>
      </c>
      <c r="C245" t="s">
        <v>127</v>
      </c>
      <c r="D245" s="4">
        <v>8000000000</v>
      </c>
      <c r="E245" s="5">
        <v>45491</v>
      </c>
      <c r="F245">
        <v>13028195</v>
      </c>
      <c r="G245" t="b">
        <v>1</v>
      </c>
      <c r="I245" t="str">
        <f t="shared" si="3"/>
        <v>huggingface/meta-llama/Llama-3.1-8B-Instruct</v>
      </c>
    </row>
    <row r="246" spans="1:9" x14ac:dyDescent="0.75">
      <c r="A246" t="s">
        <v>590</v>
      </c>
      <c r="B246" t="s">
        <v>638</v>
      </c>
      <c r="C246" t="s">
        <v>639</v>
      </c>
      <c r="D246" s="4">
        <v>70000000000</v>
      </c>
      <c r="E246" s="5">
        <v>45489</v>
      </c>
      <c r="F246">
        <v>496004</v>
      </c>
      <c r="G246" t="b">
        <v>1</v>
      </c>
      <c r="I246" t="str">
        <f t="shared" si="3"/>
        <v>huggingface/meta-llama/Llama-3.1-70B-Instruct</v>
      </c>
    </row>
    <row r="247" spans="1:9" x14ac:dyDescent="0.75">
      <c r="A247" t="s">
        <v>590</v>
      </c>
      <c r="B247" t="s">
        <v>640</v>
      </c>
      <c r="C247" t="s">
        <v>641</v>
      </c>
      <c r="D247" s="4">
        <v>405000000000</v>
      </c>
      <c r="E247" s="5">
        <v>45489</v>
      </c>
      <c r="F247">
        <v>32962</v>
      </c>
      <c r="G247" t="b">
        <v>1</v>
      </c>
      <c r="I247" t="str">
        <f t="shared" si="3"/>
        <v>huggingface/meta-llama/Llama-3.1-405B-Instruct</v>
      </c>
    </row>
    <row r="248" spans="1:9" x14ac:dyDescent="0.75">
      <c r="A248" t="s">
        <v>590</v>
      </c>
      <c r="B248" t="s">
        <v>642</v>
      </c>
      <c r="C248" t="s">
        <v>643</v>
      </c>
      <c r="D248" s="4">
        <v>8000000000</v>
      </c>
      <c r="E248" s="5">
        <v>45399</v>
      </c>
      <c r="F248">
        <v>1049006</v>
      </c>
      <c r="G248" t="b">
        <v>1</v>
      </c>
      <c r="I248" t="str">
        <f t="shared" si="3"/>
        <v>huggingface/meta-llama/Meta-Llama-3-8B-Instruct</v>
      </c>
    </row>
    <row r="249" spans="1:9" x14ac:dyDescent="0.75">
      <c r="A249" t="s">
        <v>590</v>
      </c>
      <c r="B249" t="s">
        <v>644</v>
      </c>
      <c r="C249" t="s">
        <v>645</v>
      </c>
      <c r="D249" s="4">
        <v>70000000000</v>
      </c>
      <c r="E249" s="5">
        <v>45399</v>
      </c>
      <c r="F249">
        <v>63504</v>
      </c>
      <c r="G249" t="b">
        <v>1</v>
      </c>
      <c r="I249" t="str">
        <f t="shared" si="3"/>
        <v>huggingface/meta-llama/Meta-Llama-3-70B-Instruct</v>
      </c>
    </row>
    <row r="250" spans="1:9" hidden="1" x14ac:dyDescent="0.75">
      <c r="A250" t="s">
        <v>590</v>
      </c>
      <c r="B250" t="s">
        <v>646</v>
      </c>
      <c r="C250" t="s">
        <v>647</v>
      </c>
      <c r="D250" s="4">
        <v>8000000000</v>
      </c>
      <c r="E250" s="5">
        <v>45399</v>
      </c>
      <c r="F250">
        <v>10022</v>
      </c>
      <c r="G250" t="b">
        <v>0</v>
      </c>
      <c r="I250" t="str">
        <f t="shared" si="3"/>
        <v>huggingface/meta-llama/Meta-Llama-Guard-2-8B</v>
      </c>
    </row>
    <row r="251" spans="1:9" hidden="1" x14ac:dyDescent="0.75">
      <c r="A251" t="s">
        <v>590</v>
      </c>
      <c r="B251" t="s">
        <v>648</v>
      </c>
      <c r="C251" t="s">
        <v>649</v>
      </c>
      <c r="D251" s="4">
        <v>34000000000</v>
      </c>
      <c r="E251" s="5">
        <v>45365</v>
      </c>
      <c r="F251">
        <v>1311</v>
      </c>
      <c r="G251" t="b">
        <v>0</v>
      </c>
      <c r="I251" t="str">
        <f t="shared" si="3"/>
        <v>huggingface/meta-llama/CodeLlama-34b-Instruct-hf</v>
      </c>
    </row>
    <row r="252" spans="1:9" hidden="1" x14ac:dyDescent="0.75">
      <c r="A252" t="s">
        <v>590</v>
      </c>
      <c r="B252" t="s">
        <v>650</v>
      </c>
      <c r="C252" t="s">
        <v>651</v>
      </c>
      <c r="D252" s="4">
        <v>7000000000</v>
      </c>
      <c r="E252" s="5">
        <v>45364</v>
      </c>
      <c r="F252">
        <v>3701</v>
      </c>
      <c r="G252" t="b">
        <v>0</v>
      </c>
      <c r="I252" t="str">
        <f t="shared" si="3"/>
        <v>huggingface/meta-llama/CodeLlama-7b-Instruct-hf</v>
      </c>
    </row>
    <row r="253" spans="1:9" hidden="1" x14ac:dyDescent="0.75">
      <c r="A253" t="s">
        <v>590</v>
      </c>
      <c r="B253" t="s">
        <v>652</v>
      </c>
      <c r="C253" t="s">
        <v>653</v>
      </c>
      <c r="D253" s="4">
        <v>13000000000</v>
      </c>
      <c r="E253" s="5">
        <v>45364</v>
      </c>
      <c r="F253">
        <v>1556</v>
      </c>
      <c r="G253" t="b">
        <v>0</v>
      </c>
      <c r="I253" t="str">
        <f t="shared" si="3"/>
        <v>huggingface/meta-llama/CodeLlama-13b-Instruct-hf</v>
      </c>
    </row>
    <row r="254" spans="1:9" hidden="1" x14ac:dyDescent="0.75">
      <c r="A254" t="s">
        <v>590</v>
      </c>
      <c r="B254" t="s">
        <v>654</v>
      </c>
      <c r="C254" t="s">
        <v>655</v>
      </c>
      <c r="D254" s="4">
        <v>70000000000</v>
      </c>
      <c r="E254" s="5">
        <v>45364</v>
      </c>
      <c r="F254">
        <v>174</v>
      </c>
      <c r="G254" t="b">
        <v>0</v>
      </c>
      <c r="I254" t="str">
        <f t="shared" si="3"/>
        <v>huggingface/meta-llama/CodeLlama-70b-Instruct-hf</v>
      </c>
    </row>
    <row r="255" spans="1:9" hidden="1" x14ac:dyDescent="0.75">
      <c r="A255" t="s">
        <v>590</v>
      </c>
      <c r="B255" t="s">
        <v>656</v>
      </c>
      <c r="C255" t="s">
        <v>657</v>
      </c>
      <c r="D255" s="4">
        <v>7000000000</v>
      </c>
      <c r="E255" s="5">
        <v>45265</v>
      </c>
      <c r="F255">
        <v>8313</v>
      </c>
      <c r="G255" t="b">
        <v>0</v>
      </c>
      <c r="I255" t="str">
        <f t="shared" si="3"/>
        <v>huggingface/meta-llama/LlamaGuard-7b</v>
      </c>
    </row>
    <row r="256" spans="1:9" hidden="1" x14ac:dyDescent="0.75">
      <c r="A256" t="s">
        <v>590</v>
      </c>
      <c r="B256" t="s">
        <v>658</v>
      </c>
      <c r="C256" t="s">
        <v>659</v>
      </c>
      <c r="D256" s="4">
        <v>70000000000</v>
      </c>
      <c r="E256" s="5">
        <v>45121</v>
      </c>
      <c r="F256">
        <v>52755</v>
      </c>
      <c r="G256" t="b">
        <v>0</v>
      </c>
      <c r="I256" t="str">
        <f t="shared" si="3"/>
        <v>huggingface/meta-llama/Llama-2-70b-chat-hf</v>
      </c>
    </row>
    <row r="257" spans="1:9" hidden="1" x14ac:dyDescent="0.75">
      <c r="A257" t="s">
        <v>590</v>
      </c>
      <c r="B257" t="s">
        <v>660</v>
      </c>
      <c r="C257" t="s">
        <v>661</v>
      </c>
      <c r="D257" s="4">
        <v>70000000000</v>
      </c>
      <c r="E257" s="5">
        <v>45121</v>
      </c>
      <c r="F257">
        <v>15</v>
      </c>
      <c r="G257" t="b">
        <v>0</v>
      </c>
      <c r="I257" t="str">
        <f t="shared" si="3"/>
        <v>huggingface/meta-llama/Llama-2-70b-chat</v>
      </c>
    </row>
    <row r="258" spans="1:9" hidden="1" x14ac:dyDescent="0.75">
      <c r="A258" t="s">
        <v>590</v>
      </c>
      <c r="B258" t="s">
        <v>662</v>
      </c>
      <c r="C258" t="s">
        <v>663</v>
      </c>
      <c r="D258" s="4">
        <v>7000000000</v>
      </c>
      <c r="E258" s="5">
        <v>45120</v>
      </c>
      <c r="F258">
        <v>1009389</v>
      </c>
      <c r="G258" t="b">
        <v>0</v>
      </c>
      <c r="I258" t="str">
        <f t="shared" si="3"/>
        <v>huggingface/meta-llama/Llama-2-7b-chat-hf</v>
      </c>
    </row>
    <row r="259" spans="1:9" hidden="1" x14ac:dyDescent="0.75">
      <c r="A259" t="s">
        <v>590</v>
      </c>
      <c r="B259" t="s">
        <v>664</v>
      </c>
      <c r="C259" t="s">
        <v>665</v>
      </c>
      <c r="D259" s="4">
        <v>13000000000</v>
      </c>
      <c r="E259" s="5">
        <v>45120</v>
      </c>
      <c r="F259">
        <v>176857</v>
      </c>
      <c r="G259" t="b">
        <v>0</v>
      </c>
      <c r="I259" t="str">
        <f t="shared" ref="I259:I322" si="4">"huggingface/"&amp;A259&amp;"/"&amp;B259</f>
        <v>huggingface/meta-llama/Llama-2-13b-chat-hf</v>
      </c>
    </row>
    <row r="260" spans="1:9" hidden="1" x14ac:dyDescent="0.75">
      <c r="A260" t="s">
        <v>590</v>
      </c>
      <c r="B260" t="s">
        <v>666</v>
      </c>
      <c r="C260" t="s">
        <v>667</v>
      </c>
      <c r="D260" s="4">
        <v>7000000000</v>
      </c>
      <c r="E260" s="5">
        <v>45116</v>
      </c>
      <c r="F260">
        <v>212</v>
      </c>
      <c r="G260" t="b">
        <v>0</v>
      </c>
      <c r="I260" t="str">
        <f t="shared" si="4"/>
        <v>huggingface/meta-llama/Llama-2-7b-chat</v>
      </c>
    </row>
    <row r="261" spans="1:9" hidden="1" x14ac:dyDescent="0.75">
      <c r="A261" t="s">
        <v>590</v>
      </c>
      <c r="B261" t="s">
        <v>668</v>
      </c>
      <c r="C261" t="s">
        <v>669</v>
      </c>
      <c r="D261" s="4">
        <v>13000000000</v>
      </c>
      <c r="E261" s="5">
        <v>45116</v>
      </c>
      <c r="F261">
        <v>45</v>
      </c>
      <c r="G261" t="b">
        <v>0</v>
      </c>
      <c r="I261" t="str">
        <f t="shared" si="4"/>
        <v>huggingface/meta-llama/Llama-2-13b-chat</v>
      </c>
    </row>
    <row r="262" spans="1:9" hidden="1" x14ac:dyDescent="0.75">
      <c r="A262" t="s">
        <v>39</v>
      </c>
      <c r="B262" t="s">
        <v>670</v>
      </c>
      <c r="C262" t="s">
        <v>671</v>
      </c>
      <c r="E262" s="5">
        <v>45876</v>
      </c>
      <c r="F262">
        <v>125</v>
      </c>
      <c r="G262" t="b">
        <v>0</v>
      </c>
      <c r="I262" t="str">
        <f t="shared" si="4"/>
        <v>huggingface/google/gemma-3-270m-it-qat-q4_0-unquantized</v>
      </c>
    </row>
    <row r="263" spans="1:9" hidden="1" x14ac:dyDescent="0.75">
      <c r="A263" t="s">
        <v>39</v>
      </c>
      <c r="B263" t="s">
        <v>672</v>
      </c>
      <c r="C263" t="s">
        <v>673</v>
      </c>
      <c r="E263" s="5">
        <v>45868</v>
      </c>
      <c r="F263">
        <v>9415</v>
      </c>
      <c r="G263" t="b">
        <v>0</v>
      </c>
      <c r="I263" t="str">
        <f t="shared" si="4"/>
        <v>huggingface/google/gemma-3-270m-it</v>
      </c>
    </row>
    <row r="264" spans="1:9" hidden="1" x14ac:dyDescent="0.75">
      <c r="A264" t="s">
        <v>39</v>
      </c>
      <c r="B264" t="s">
        <v>674</v>
      </c>
      <c r="C264" s="2" t="s">
        <v>675</v>
      </c>
      <c r="D264" s="4">
        <v>27000000000</v>
      </c>
      <c r="E264" s="5">
        <v>45847</v>
      </c>
      <c r="F264">
        <v>19983</v>
      </c>
      <c r="G264" t="b">
        <v>0</v>
      </c>
      <c r="I264" t="str">
        <f t="shared" si="4"/>
        <v>huggingface/google/medgemma-27b-it</v>
      </c>
    </row>
    <row r="265" spans="1:9" hidden="1" x14ac:dyDescent="0.75">
      <c r="A265" t="s">
        <v>39</v>
      </c>
      <c r="B265" t="s">
        <v>676</v>
      </c>
      <c r="C265" t="s">
        <v>677</v>
      </c>
      <c r="E265" s="5">
        <v>45827</v>
      </c>
      <c r="F265">
        <v>5196</v>
      </c>
      <c r="G265" t="b">
        <v>0</v>
      </c>
      <c r="I265" t="str">
        <f t="shared" si="4"/>
        <v>huggingface/google/t5gemma-b-b-prefixlm-it</v>
      </c>
    </row>
    <row r="266" spans="1:9" hidden="1" x14ac:dyDescent="0.75">
      <c r="A266" t="s">
        <v>39</v>
      </c>
      <c r="B266" t="s">
        <v>678</v>
      </c>
      <c r="C266" t="s">
        <v>679</v>
      </c>
      <c r="D266" s="4">
        <v>2000000000</v>
      </c>
      <c r="E266" s="5">
        <v>45827</v>
      </c>
      <c r="F266">
        <v>3170</v>
      </c>
      <c r="G266" t="b">
        <v>0</v>
      </c>
      <c r="I266" t="str">
        <f t="shared" si="4"/>
        <v>huggingface/google/t5gemma-2b-2b-prefixlm-it</v>
      </c>
    </row>
    <row r="267" spans="1:9" hidden="1" x14ac:dyDescent="0.75">
      <c r="A267" t="s">
        <v>39</v>
      </c>
      <c r="B267" t="s">
        <v>680</v>
      </c>
      <c r="C267" t="s">
        <v>681</v>
      </c>
      <c r="E267" s="5">
        <v>45827</v>
      </c>
      <c r="F267">
        <v>2334</v>
      </c>
      <c r="G267" t="b">
        <v>0</v>
      </c>
      <c r="I267" t="str">
        <f t="shared" si="4"/>
        <v>huggingface/google/t5gemma-l-l-ul2-it</v>
      </c>
    </row>
    <row r="268" spans="1:9" hidden="1" x14ac:dyDescent="0.75">
      <c r="A268" t="s">
        <v>39</v>
      </c>
      <c r="B268" t="s">
        <v>682</v>
      </c>
      <c r="C268" t="s">
        <v>683</v>
      </c>
      <c r="D268" s="4">
        <v>2000000000</v>
      </c>
      <c r="E268" s="5">
        <v>45827</v>
      </c>
      <c r="F268">
        <v>1450</v>
      </c>
      <c r="G268" t="b">
        <v>0</v>
      </c>
      <c r="I268" t="str">
        <f t="shared" si="4"/>
        <v>huggingface/google/t5gemma-2b-2b-ul2-it</v>
      </c>
    </row>
    <row r="269" spans="1:9" hidden="1" x14ac:dyDescent="0.75">
      <c r="A269" t="s">
        <v>39</v>
      </c>
      <c r="B269" t="s">
        <v>684</v>
      </c>
      <c r="C269" t="s">
        <v>685</v>
      </c>
      <c r="E269" s="5">
        <v>45827</v>
      </c>
      <c r="F269">
        <v>685</v>
      </c>
      <c r="G269" t="b">
        <v>0</v>
      </c>
      <c r="I269" t="str">
        <f t="shared" si="4"/>
        <v>huggingface/google/t5gemma-s-s-prefixlm-it</v>
      </c>
    </row>
    <row r="270" spans="1:9" hidden="1" x14ac:dyDescent="0.75">
      <c r="A270" t="s">
        <v>39</v>
      </c>
      <c r="B270" t="s">
        <v>686</v>
      </c>
      <c r="C270" t="s">
        <v>687</v>
      </c>
      <c r="E270" s="5">
        <v>45827</v>
      </c>
      <c r="F270">
        <v>595</v>
      </c>
      <c r="G270" t="b">
        <v>0</v>
      </c>
      <c r="I270" t="str">
        <f t="shared" si="4"/>
        <v>huggingface/google/t5gemma-xl-xl-prefixlm-it</v>
      </c>
    </row>
    <row r="271" spans="1:9" hidden="1" x14ac:dyDescent="0.75">
      <c r="A271" t="s">
        <v>39</v>
      </c>
      <c r="B271" t="s">
        <v>688</v>
      </c>
      <c r="C271" t="s">
        <v>689</v>
      </c>
      <c r="E271" s="5">
        <v>45827</v>
      </c>
      <c r="F271">
        <v>406</v>
      </c>
      <c r="G271" t="b">
        <v>0</v>
      </c>
      <c r="I271" t="str">
        <f t="shared" si="4"/>
        <v>huggingface/google/t5gemma-s-s-ul2-it</v>
      </c>
    </row>
    <row r="272" spans="1:9" hidden="1" x14ac:dyDescent="0.75">
      <c r="A272" t="s">
        <v>39</v>
      </c>
      <c r="B272" t="s">
        <v>690</v>
      </c>
      <c r="C272" t="s">
        <v>691</v>
      </c>
      <c r="E272" s="5">
        <v>45827</v>
      </c>
      <c r="F272">
        <v>308</v>
      </c>
      <c r="G272" t="b">
        <v>0</v>
      </c>
      <c r="I272" t="str">
        <f t="shared" si="4"/>
        <v>huggingface/google/t5gemma-ml-ml-ul2-it</v>
      </c>
    </row>
    <row r="273" spans="1:9" hidden="1" x14ac:dyDescent="0.75">
      <c r="A273" t="s">
        <v>39</v>
      </c>
      <c r="B273" t="s">
        <v>692</v>
      </c>
      <c r="C273" t="s">
        <v>693</v>
      </c>
      <c r="E273" s="5">
        <v>45827</v>
      </c>
      <c r="F273">
        <v>271</v>
      </c>
      <c r="G273" t="b">
        <v>0</v>
      </c>
      <c r="I273" t="str">
        <f t="shared" si="4"/>
        <v>huggingface/google/t5gemma-l-l-prefixlm-it</v>
      </c>
    </row>
    <row r="274" spans="1:9" hidden="1" x14ac:dyDescent="0.75">
      <c r="A274" t="s">
        <v>39</v>
      </c>
      <c r="B274" t="s">
        <v>694</v>
      </c>
      <c r="C274" t="s">
        <v>695</v>
      </c>
      <c r="D274" s="4">
        <v>9000000000</v>
      </c>
      <c r="E274" s="5">
        <v>45827</v>
      </c>
      <c r="F274">
        <v>202</v>
      </c>
      <c r="G274" t="b">
        <v>0</v>
      </c>
      <c r="I274" t="str">
        <f t="shared" si="4"/>
        <v>huggingface/google/t5gemma-9b-9b-ul2-it</v>
      </c>
    </row>
    <row r="275" spans="1:9" hidden="1" x14ac:dyDescent="0.75">
      <c r="A275" t="s">
        <v>39</v>
      </c>
      <c r="B275" t="s">
        <v>696</v>
      </c>
      <c r="C275" t="s">
        <v>697</v>
      </c>
      <c r="E275" s="5">
        <v>45827</v>
      </c>
      <c r="F275">
        <v>200</v>
      </c>
      <c r="G275" t="b">
        <v>0</v>
      </c>
      <c r="I275" t="str">
        <f t="shared" si="4"/>
        <v>huggingface/google/t5gemma-b-b-ul2-it</v>
      </c>
    </row>
    <row r="276" spans="1:9" hidden="1" x14ac:dyDescent="0.75">
      <c r="A276" t="s">
        <v>39</v>
      </c>
      <c r="B276" t="s">
        <v>698</v>
      </c>
      <c r="C276" t="s">
        <v>699</v>
      </c>
      <c r="E276" s="5">
        <v>45827</v>
      </c>
      <c r="F276">
        <v>172</v>
      </c>
      <c r="G276" t="b">
        <v>0</v>
      </c>
      <c r="I276" t="str">
        <f t="shared" si="4"/>
        <v>huggingface/google/t5gemma-xl-xl-ul2-it</v>
      </c>
    </row>
    <row r="277" spans="1:9" hidden="1" x14ac:dyDescent="0.75">
      <c r="A277" t="s">
        <v>39</v>
      </c>
      <c r="B277" t="s">
        <v>700</v>
      </c>
      <c r="C277" t="s">
        <v>701</v>
      </c>
      <c r="D277" s="4">
        <v>9000000000</v>
      </c>
      <c r="E277" s="5">
        <v>45827</v>
      </c>
      <c r="F277">
        <v>151</v>
      </c>
      <c r="G277" t="b">
        <v>0</v>
      </c>
      <c r="I277" t="str">
        <f t="shared" si="4"/>
        <v>huggingface/google/t5gemma-9b-2b-ul2-it</v>
      </c>
    </row>
    <row r="278" spans="1:9" hidden="1" x14ac:dyDescent="0.75">
      <c r="A278" t="s">
        <v>39</v>
      </c>
      <c r="B278" t="s">
        <v>702</v>
      </c>
      <c r="C278" t="s">
        <v>703</v>
      </c>
      <c r="D278" s="4">
        <v>9000000000</v>
      </c>
      <c r="E278" s="5">
        <v>45827</v>
      </c>
      <c r="F278">
        <v>104</v>
      </c>
      <c r="G278" t="b">
        <v>0</v>
      </c>
      <c r="I278" t="str">
        <f t="shared" si="4"/>
        <v>huggingface/google/t5gemma-9b-9b-prefixlm-it</v>
      </c>
    </row>
    <row r="279" spans="1:9" hidden="1" x14ac:dyDescent="0.75">
      <c r="A279" t="s">
        <v>39</v>
      </c>
      <c r="B279" t="s">
        <v>704</v>
      </c>
      <c r="C279" t="s">
        <v>705</v>
      </c>
      <c r="D279" s="4">
        <v>9000000000</v>
      </c>
      <c r="E279" s="5">
        <v>45827</v>
      </c>
      <c r="F279">
        <v>40</v>
      </c>
      <c r="G279" t="b">
        <v>0</v>
      </c>
      <c r="I279" t="str">
        <f t="shared" si="4"/>
        <v>huggingface/google/t5gemma-9b-2b-prefixlm-it</v>
      </c>
    </row>
    <row r="280" spans="1:9" hidden="1" x14ac:dyDescent="0.75">
      <c r="A280" t="s">
        <v>39</v>
      </c>
      <c r="B280" t="s">
        <v>706</v>
      </c>
      <c r="C280" t="s">
        <v>707</v>
      </c>
      <c r="E280" s="5">
        <v>45827</v>
      </c>
      <c r="F280">
        <v>24</v>
      </c>
      <c r="G280" t="b">
        <v>0</v>
      </c>
      <c r="I280" t="str">
        <f t="shared" si="4"/>
        <v>huggingface/google/t5gemma-ml-ml-prefixlm-it</v>
      </c>
    </row>
    <row r="281" spans="1:9" hidden="1" x14ac:dyDescent="0.75">
      <c r="A281" t="s">
        <v>39</v>
      </c>
      <c r="B281" t="s">
        <v>708</v>
      </c>
      <c r="C281" t="s">
        <v>709</v>
      </c>
      <c r="D281" s="4">
        <v>2000000000</v>
      </c>
      <c r="E281" s="5">
        <v>45820</v>
      </c>
      <c r="F281">
        <v>93189</v>
      </c>
      <c r="G281" t="b">
        <v>0</v>
      </c>
      <c r="I281" t="str">
        <f t="shared" si="4"/>
        <v>huggingface/google/gemma-3n-E2B-it</v>
      </c>
    </row>
    <row r="282" spans="1:9" hidden="1" x14ac:dyDescent="0.75">
      <c r="A282" t="s">
        <v>39</v>
      </c>
      <c r="B282" t="s">
        <v>710</v>
      </c>
      <c r="C282" t="s">
        <v>711</v>
      </c>
      <c r="D282" s="4">
        <v>4000000000</v>
      </c>
      <c r="E282" s="5">
        <v>45811</v>
      </c>
      <c r="F282">
        <v>108504</v>
      </c>
      <c r="G282" t="b">
        <v>0</v>
      </c>
      <c r="I282" t="str">
        <f t="shared" si="4"/>
        <v>huggingface/google/gemma-3n-E4B-it</v>
      </c>
    </row>
    <row r="283" spans="1:9" hidden="1" x14ac:dyDescent="0.75">
      <c r="A283" t="s">
        <v>39</v>
      </c>
      <c r="B283" t="s">
        <v>712</v>
      </c>
      <c r="C283" t="s">
        <v>713</v>
      </c>
      <c r="D283" s="4">
        <v>4000000000</v>
      </c>
      <c r="E283" s="5">
        <v>45796</v>
      </c>
      <c r="F283">
        <v>109268</v>
      </c>
      <c r="G283" t="b">
        <v>0</v>
      </c>
      <c r="I283" t="str">
        <f t="shared" si="4"/>
        <v>huggingface/google/medgemma-4b-it</v>
      </c>
    </row>
    <row r="284" spans="1:9" hidden="1" x14ac:dyDescent="0.75">
      <c r="A284" t="s">
        <v>39</v>
      </c>
      <c r="B284" t="s">
        <v>714</v>
      </c>
      <c r="C284" t="s">
        <v>715</v>
      </c>
      <c r="D284" s="4">
        <v>27000000000</v>
      </c>
      <c r="E284" s="5">
        <v>45796</v>
      </c>
      <c r="F284">
        <v>35446</v>
      </c>
      <c r="G284" t="b">
        <v>0</v>
      </c>
      <c r="I284" t="str">
        <f t="shared" si="4"/>
        <v>huggingface/google/medgemma-27b-text-it</v>
      </c>
    </row>
    <row r="285" spans="1:9" hidden="1" x14ac:dyDescent="0.75">
      <c r="A285" t="s">
        <v>39</v>
      </c>
      <c r="B285" t="s">
        <v>716</v>
      </c>
      <c r="C285" t="s">
        <v>717</v>
      </c>
      <c r="D285" s="4">
        <v>27000000000</v>
      </c>
      <c r="E285" s="5">
        <v>45762</v>
      </c>
      <c r="F285">
        <v>6352</v>
      </c>
      <c r="G285" t="b">
        <v>0</v>
      </c>
      <c r="I285" t="str">
        <f t="shared" si="4"/>
        <v>huggingface/google/gemma-3-27b-it-qat-q4_0-unquantized</v>
      </c>
    </row>
    <row r="286" spans="1:9" hidden="1" x14ac:dyDescent="0.75">
      <c r="A286" t="s">
        <v>39</v>
      </c>
      <c r="B286" t="s">
        <v>718</v>
      </c>
      <c r="C286" t="s">
        <v>719</v>
      </c>
      <c r="D286" s="4">
        <v>12000000000</v>
      </c>
      <c r="E286" s="5">
        <v>45756</v>
      </c>
      <c r="F286">
        <v>5023</v>
      </c>
      <c r="G286" t="b">
        <v>0</v>
      </c>
      <c r="I286" t="str">
        <f t="shared" si="4"/>
        <v>huggingface/google/gemma-3-12b-it-qat-int4-unquantized</v>
      </c>
    </row>
    <row r="287" spans="1:9" hidden="1" x14ac:dyDescent="0.75">
      <c r="A287" t="s">
        <v>39</v>
      </c>
      <c r="B287" t="s">
        <v>720</v>
      </c>
      <c r="C287" t="s">
        <v>721</v>
      </c>
      <c r="D287" s="4">
        <v>1000000000</v>
      </c>
      <c r="E287" s="5">
        <v>45756</v>
      </c>
      <c r="F287">
        <v>1988</v>
      </c>
      <c r="G287" t="b">
        <v>0</v>
      </c>
      <c r="I287" t="str">
        <f t="shared" si="4"/>
        <v>huggingface/google/gemma-3-1b-it-qat-int4-unquantized</v>
      </c>
    </row>
    <row r="288" spans="1:9" hidden="1" x14ac:dyDescent="0.75">
      <c r="A288" t="s">
        <v>39</v>
      </c>
      <c r="B288" t="s">
        <v>722</v>
      </c>
      <c r="C288" t="s">
        <v>723</v>
      </c>
      <c r="D288" s="4">
        <v>4000000000</v>
      </c>
      <c r="E288" s="5">
        <v>45756</v>
      </c>
      <c r="F288">
        <v>1963</v>
      </c>
      <c r="G288" t="b">
        <v>0</v>
      </c>
      <c r="I288" t="str">
        <f t="shared" si="4"/>
        <v>huggingface/google/gemma-3-4b-it-qat-int4-unquantized</v>
      </c>
    </row>
    <row r="289" spans="1:9" hidden="1" x14ac:dyDescent="0.75">
      <c r="A289" t="s">
        <v>39</v>
      </c>
      <c r="B289" t="s">
        <v>724</v>
      </c>
      <c r="C289" t="s">
        <v>725</v>
      </c>
      <c r="D289" s="4">
        <v>12000000000</v>
      </c>
      <c r="E289" s="5">
        <v>45755</v>
      </c>
      <c r="F289">
        <v>2644</v>
      </c>
      <c r="G289" t="b">
        <v>0</v>
      </c>
      <c r="I289" t="str">
        <f t="shared" si="4"/>
        <v>huggingface/google/gemma-3-12b-it-qat-q4_0-unquantized</v>
      </c>
    </row>
    <row r="290" spans="1:9" hidden="1" x14ac:dyDescent="0.75">
      <c r="A290" t="s">
        <v>39</v>
      </c>
      <c r="B290" t="s">
        <v>726</v>
      </c>
      <c r="C290" t="s">
        <v>727</v>
      </c>
      <c r="D290" s="4">
        <v>4000000000</v>
      </c>
      <c r="E290" s="5">
        <v>45755</v>
      </c>
      <c r="F290">
        <v>2342</v>
      </c>
      <c r="G290" t="b">
        <v>0</v>
      </c>
      <c r="I290" t="str">
        <f t="shared" si="4"/>
        <v>huggingface/google/gemma-3-4b-it-qat-q4_0-unquantized</v>
      </c>
    </row>
    <row r="291" spans="1:9" hidden="1" x14ac:dyDescent="0.75">
      <c r="A291" t="s">
        <v>39</v>
      </c>
      <c r="B291" t="s">
        <v>728</v>
      </c>
      <c r="C291" t="s">
        <v>729</v>
      </c>
      <c r="D291" s="4">
        <v>1000000000</v>
      </c>
      <c r="E291" s="5">
        <v>45755</v>
      </c>
      <c r="F291">
        <v>1849</v>
      </c>
      <c r="G291" t="b">
        <v>0</v>
      </c>
      <c r="I291" t="str">
        <f t="shared" si="4"/>
        <v>huggingface/google/gemma-3-1b-it-qat-q4_0-unquantized</v>
      </c>
    </row>
    <row r="292" spans="1:9" hidden="1" x14ac:dyDescent="0.75">
      <c r="A292" t="s">
        <v>39</v>
      </c>
      <c r="B292" t="s">
        <v>730</v>
      </c>
      <c r="C292" t="s">
        <v>731</v>
      </c>
      <c r="D292" s="4">
        <v>9000000000</v>
      </c>
      <c r="E292" s="5">
        <v>45737</v>
      </c>
      <c r="F292">
        <v>2911</v>
      </c>
      <c r="G292" t="b">
        <v>0</v>
      </c>
      <c r="I292" t="str">
        <f t="shared" si="4"/>
        <v>huggingface/google/txgemma-9b-chat</v>
      </c>
    </row>
    <row r="293" spans="1:9" hidden="1" x14ac:dyDescent="0.75">
      <c r="A293" t="s">
        <v>39</v>
      </c>
      <c r="B293" t="s">
        <v>732</v>
      </c>
      <c r="C293" t="s">
        <v>733</v>
      </c>
      <c r="D293" s="4">
        <v>27000000000</v>
      </c>
      <c r="E293" s="5">
        <v>45737</v>
      </c>
      <c r="F293">
        <v>1299</v>
      </c>
      <c r="G293" t="b">
        <v>0</v>
      </c>
      <c r="I293" t="str">
        <f t="shared" si="4"/>
        <v>huggingface/google/txgemma-27b-chat</v>
      </c>
    </row>
    <row r="294" spans="1:9" hidden="1" x14ac:dyDescent="0.75">
      <c r="A294" t="s">
        <v>39</v>
      </c>
      <c r="B294" t="s">
        <v>734</v>
      </c>
      <c r="C294" t="s">
        <v>735</v>
      </c>
      <c r="D294" s="4">
        <v>27000000000</v>
      </c>
      <c r="E294" s="5">
        <v>45736</v>
      </c>
      <c r="F294">
        <v>7522</v>
      </c>
      <c r="G294" t="b">
        <v>0</v>
      </c>
      <c r="I294" t="str">
        <f t="shared" si="4"/>
        <v>huggingface/google/gemma-3-27b-it-qat-q4_0-gguf</v>
      </c>
    </row>
    <row r="295" spans="1:9" hidden="1" x14ac:dyDescent="0.75">
      <c r="A295" t="s">
        <v>39</v>
      </c>
      <c r="B295" t="s">
        <v>736</v>
      </c>
      <c r="C295" t="s">
        <v>737</v>
      </c>
      <c r="D295" s="4">
        <v>12000000000</v>
      </c>
      <c r="E295" s="5">
        <v>45728</v>
      </c>
      <c r="F295">
        <v>80927</v>
      </c>
      <c r="G295" t="b">
        <v>0</v>
      </c>
      <c r="I295" t="str">
        <f t="shared" si="4"/>
        <v>huggingface/google/gemma-3-12b-it-qat-q4_0-gguf</v>
      </c>
    </row>
    <row r="296" spans="1:9" hidden="1" x14ac:dyDescent="0.75">
      <c r="A296" t="s">
        <v>39</v>
      </c>
      <c r="B296" t="s">
        <v>738</v>
      </c>
      <c r="C296" t="s">
        <v>739</v>
      </c>
      <c r="D296" s="4">
        <v>4000000000</v>
      </c>
      <c r="E296" s="5">
        <v>45728</v>
      </c>
      <c r="F296">
        <v>5113</v>
      </c>
      <c r="G296" t="b">
        <v>0</v>
      </c>
      <c r="I296" t="str">
        <f t="shared" si="4"/>
        <v>huggingface/google/gemma-3-4b-it-qat-q4_0-gguf</v>
      </c>
    </row>
    <row r="297" spans="1:9" hidden="1" x14ac:dyDescent="0.75">
      <c r="A297" t="s">
        <v>39</v>
      </c>
      <c r="B297" t="s">
        <v>740</v>
      </c>
      <c r="C297" t="s">
        <v>741</v>
      </c>
      <c r="D297" s="4">
        <v>1000000000</v>
      </c>
      <c r="E297" s="5">
        <v>45726</v>
      </c>
      <c r="F297">
        <v>2584082</v>
      </c>
      <c r="G297" t="b">
        <v>0</v>
      </c>
      <c r="I297" t="str">
        <f t="shared" si="4"/>
        <v>huggingface/google/gemma-3-1b-it</v>
      </c>
    </row>
    <row r="298" spans="1:9" hidden="1" x14ac:dyDescent="0.75">
      <c r="A298" t="s">
        <v>39</v>
      </c>
      <c r="B298" t="s">
        <v>742</v>
      </c>
      <c r="C298" t="s">
        <v>743</v>
      </c>
      <c r="D298" s="4">
        <v>1000000000</v>
      </c>
      <c r="E298" s="5">
        <v>45726</v>
      </c>
      <c r="F298">
        <v>2150</v>
      </c>
      <c r="G298" t="b">
        <v>0</v>
      </c>
      <c r="I298" t="str">
        <f t="shared" si="4"/>
        <v>huggingface/google/gemma-3-1b-it-qat-q4_0-gguf</v>
      </c>
    </row>
    <row r="299" spans="1:9" hidden="1" x14ac:dyDescent="0.75">
      <c r="A299" t="s">
        <v>39</v>
      </c>
      <c r="B299" t="s">
        <v>744</v>
      </c>
      <c r="C299" t="s">
        <v>745</v>
      </c>
      <c r="D299" s="4">
        <v>4000000000</v>
      </c>
      <c r="E299" s="5">
        <v>45720</v>
      </c>
      <c r="F299">
        <v>1690</v>
      </c>
      <c r="G299" t="b">
        <v>0</v>
      </c>
      <c r="I299" t="str">
        <f t="shared" si="4"/>
        <v>huggingface/google/shieldgemma-2-4b-it</v>
      </c>
    </row>
    <row r="300" spans="1:9" x14ac:dyDescent="0.75">
      <c r="A300" t="s">
        <v>39</v>
      </c>
      <c r="B300" t="s">
        <v>746</v>
      </c>
      <c r="C300" t="s">
        <v>747</v>
      </c>
      <c r="D300" s="4">
        <v>27000000000</v>
      </c>
      <c r="E300" s="5">
        <v>45717</v>
      </c>
      <c r="F300">
        <v>396753</v>
      </c>
      <c r="G300" t="b">
        <v>1</v>
      </c>
      <c r="I300" t="str">
        <f t="shared" si="4"/>
        <v>huggingface/google/gemma-3-27b-it</v>
      </c>
    </row>
    <row r="301" spans="1:9" hidden="1" x14ac:dyDescent="0.75">
      <c r="A301" t="s">
        <v>39</v>
      </c>
      <c r="B301" t="s">
        <v>748</v>
      </c>
      <c r="C301" t="s">
        <v>749</v>
      </c>
      <c r="D301" s="4">
        <v>12000000000</v>
      </c>
      <c r="E301" s="5">
        <v>45717</v>
      </c>
      <c r="F301">
        <v>315472</v>
      </c>
      <c r="G301" t="b">
        <v>0</v>
      </c>
      <c r="I301" t="str">
        <f t="shared" si="4"/>
        <v>huggingface/google/gemma-3-12b-it</v>
      </c>
    </row>
    <row r="302" spans="1:9" hidden="1" x14ac:dyDescent="0.75">
      <c r="A302" t="s">
        <v>39</v>
      </c>
      <c r="B302" t="s">
        <v>750</v>
      </c>
      <c r="C302" t="s">
        <v>751</v>
      </c>
      <c r="D302" s="4">
        <v>4000000000</v>
      </c>
      <c r="E302" s="5">
        <v>45708</v>
      </c>
      <c r="F302">
        <v>1111818</v>
      </c>
      <c r="G302" t="b">
        <v>0</v>
      </c>
      <c r="I302" t="str">
        <f t="shared" si="4"/>
        <v>huggingface/google/gemma-3-4b-it</v>
      </c>
    </row>
    <row r="303" spans="1:9" hidden="1" x14ac:dyDescent="0.75">
      <c r="A303" t="s">
        <v>39</v>
      </c>
      <c r="B303" t="s">
        <v>752</v>
      </c>
      <c r="C303" t="s">
        <v>753</v>
      </c>
      <c r="D303" s="4">
        <v>2000000000</v>
      </c>
      <c r="E303" s="5">
        <v>45560</v>
      </c>
      <c r="F303">
        <v>12494</v>
      </c>
      <c r="G303" t="b">
        <v>0</v>
      </c>
      <c r="I303" t="str">
        <f t="shared" si="4"/>
        <v>huggingface/google/gemma-2-2b-jpn-it</v>
      </c>
    </row>
    <row r="304" spans="1:9" hidden="1" x14ac:dyDescent="0.75">
      <c r="A304" t="s">
        <v>39</v>
      </c>
      <c r="B304" t="s">
        <v>754</v>
      </c>
      <c r="C304" t="s">
        <v>755</v>
      </c>
      <c r="D304" s="4">
        <v>7000000000</v>
      </c>
      <c r="E304" s="5">
        <v>45541</v>
      </c>
      <c r="F304">
        <v>1894</v>
      </c>
      <c r="G304" t="b">
        <v>0</v>
      </c>
      <c r="I304" t="str">
        <f t="shared" si="4"/>
        <v>huggingface/google/gemma-7b-aps-it</v>
      </c>
    </row>
    <row r="305" spans="1:9" hidden="1" x14ac:dyDescent="0.75">
      <c r="A305" t="s">
        <v>39</v>
      </c>
      <c r="B305" t="s">
        <v>756</v>
      </c>
      <c r="C305" t="s">
        <v>757</v>
      </c>
      <c r="D305" s="4">
        <v>2000000000</v>
      </c>
      <c r="E305" s="5">
        <v>45541</v>
      </c>
      <c r="F305">
        <v>122</v>
      </c>
      <c r="G305" t="b">
        <v>0</v>
      </c>
      <c r="I305" t="str">
        <f t="shared" si="4"/>
        <v>huggingface/google/gemma-2b-aps-it</v>
      </c>
    </row>
    <row r="306" spans="1:9" hidden="1" x14ac:dyDescent="0.75">
      <c r="A306" t="s">
        <v>39</v>
      </c>
      <c r="B306" t="s">
        <v>758</v>
      </c>
      <c r="C306" t="s">
        <v>759</v>
      </c>
      <c r="D306" s="4">
        <v>27000000000</v>
      </c>
      <c r="E306" s="5">
        <v>45531</v>
      </c>
      <c r="F306">
        <v>1739</v>
      </c>
      <c r="G306" t="b">
        <v>0</v>
      </c>
      <c r="I306" t="str">
        <f t="shared" si="4"/>
        <v>huggingface/google/datagemma-rig-27b-it</v>
      </c>
    </row>
    <row r="307" spans="1:9" hidden="1" x14ac:dyDescent="0.75">
      <c r="A307" t="s">
        <v>39</v>
      </c>
      <c r="B307" t="s">
        <v>760</v>
      </c>
      <c r="C307" t="s">
        <v>761</v>
      </c>
      <c r="D307" s="4">
        <v>27000000000</v>
      </c>
      <c r="E307" s="5">
        <v>45530</v>
      </c>
      <c r="F307">
        <v>2064</v>
      </c>
      <c r="G307" t="b">
        <v>0</v>
      </c>
      <c r="I307" t="str">
        <f t="shared" si="4"/>
        <v>huggingface/google/datagemma-rag-27b-it</v>
      </c>
    </row>
    <row r="308" spans="1:9" hidden="1" x14ac:dyDescent="0.75">
      <c r="A308" t="s">
        <v>39</v>
      </c>
      <c r="B308" t="s">
        <v>762</v>
      </c>
      <c r="C308" t="s">
        <v>763</v>
      </c>
      <c r="D308" s="4">
        <v>2000000000</v>
      </c>
      <c r="E308" s="5">
        <v>45490</v>
      </c>
      <c r="F308">
        <v>115</v>
      </c>
      <c r="G308" t="b">
        <v>0</v>
      </c>
      <c r="I308" t="str">
        <f t="shared" si="4"/>
        <v>huggingface/google/gemma-2-2b-it-GGUF</v>
      </c>
    </row>
    <row r="309" spans="1:9" x14ac:dyDescent="0.75">
      <c r="A309" t="s">
        <v>39</v>
      </c>
      <c r="B309" t="s">
        <v>764</v>
      </c>
      <c r="C309" t="s">
        <v>765</v>
      </c>
      <c r="D309" s="4">
        <v>2000000000</v>
      </c>
      <c r="E309" s="5">
        <v>45489</v>
      </c>
      <c r="F309">
        <v>480728</v>
      </c>
      <c r="G309" t="b">
        <v>1</v>
      </c>
      <c r="I309" t="str">
        <f t="shared" si="4"/>
        <v>huggingface/google/gemma-2-2b-it</v>
      </c>
    </row>
    <row r="310" spans="1:9" hidden="1" x14ac:dyDescent="0.75">
      <c r="A310" t="s">
        <v>39</v>
      </c>
      <c r="B310" t="s">
        <v>766</v>
      </c>
      <c r="C310" t="s">
        <v>767</v>
      </c>
      <c r="D310" s="4">
        <v>2000000000</v>
      </c>
      <c r="E310" s="5">
        <v>45489</v>
      </c>
      <c r="F310">
        <v>3261</v>
      </c>
      <c r="G310" t="b">
        <v>0</v>
      </c>
      <c r="I310" t="str">
        <f t="shared" si="4"/>
        <v>huggingface/google/shieldgemma-2b</v>
      </c>
    </row>
    <row r="311" spans="1:9" hidden="1" x14ac:dyDescent="0.75">
      <c r="A311" t="s">
        <v>39</v>
      </c>
      <c r="B311" t="s">
        <v>768</v>
      </c>
      <c r="C311" t="s">
        <v>769</v>
      </c>
      <c r="D311" s="4">
        <v>9000000000</v>
      </c>
      <c r="E311" s="5">
        <v>45489</v>
      </c>
      <c r="F311">
        <v>2242</v>
      </c>
      <c r="G311" t="b">
        <v>0</v>
      </c>
      <c r="I311" t="str">
        <f t="shared" si="4"/>
        <v>huggingface/google/shieldgemma-9b</v>
      </c>
    </row>
    <row r="312" spans="1:9" hidden="1" x14ac:dyDescent="0.75">
      <c r="A312" t="s">
        <v>39</v>
      </c>
      <c r="B312" t="s">
        <v>770</v>
      </c>
      <c r="C312" t="s">
        <v>771</v>
      </c>
      <c r="D312" s="4">
        <v>27000000000</v>
      </c>
      <c r="E312" s="5">
        <v>45489</v>
      </c>
      <c r="F312">
        <v>26</v>
      </c>
      <c r="G312" t="b">
        <v>0</v>
      </c>
      <c r="I312" t="str">
        <f t="shared" si="4"/>
        <v>huggingface/google/shieldgemma-27b</v>
      </c>
    </row>
    <row r="313" spans="1:9" x14ac:dyDescent="0.75">
      <c r="A313" t="s">
        <v>39</v>
      </c>
      <c r="B313" t="s">
        <v>772</v>
      </c>
      <c r="C313" t="s">
        <v>773</v>
      </c>
      <c r="D313" s="4">
        <v>9000000000</v>
      </c>
      <c r="E313" s="5">
        <v>45467</v>
      </c>
      <c r="F313">
        <v>155608</v>
      </c>
      <c r="G313" t="b">
        <v>1</v>
      </c>
      <c r="I313" t="str">
        <f t="shared" si="4"/>
        <v>huggingface/google/gemma-2-9b-it</v>
      </c>
    </row>
    <row r="314" spans="1:9" hidden="1" x14ac:dyDescent="0.75">
      <c r="A314" t="s">
        <v>39</v>
      </c>
      <c r="B314" t="s">
        <v>774</v>
      </c>
      <c r="C314" s="2" t="s">
        <v>775</v>
      </c>
      <c r="D314" s="4">
        <v>27000000000</v>
      </c>
      <c r="E314" s="5">
        <v>45467</v>
      </c>
      <c r="F314">
        <v>86403</v>
      </c>
      <c r="G314" t="b">
        <v>0</v>
      </c>
      <c r="I314" t="str">
        <f t="shared" si="4"/>
        <v>huggingface/google/gemma-2-27b-it</v>
      </c>
    </row>
    <row r="315" spans="1:9" hidden="1" x14ac:dyDescent="0.75">
      <c r="A315" t="s">
        <v>39</v>
      </c>
      <c r="B315" t="s">
        <v>776</v>
      </c>
      <c r="C315" t="s">
        <v>777</v>
      </c>
      <c r="D315" s="4">
        <v>9000000000</v>
      </c>
      <c r="E315" s="5">
        <v>45467</v>
      </c>
      <c r="F315">
        <v>5</v>
      </c>
      <c r="G315" t="b">
        <v>0</v>
      </c>
      <c r="I315" t="str">
        <f t="shared" si="4"/>
        <v>huggingface/google/gemma-2-instruct-9b-keras</v>
      </c>
    </row>
    <row r="316" spans="1:9" hidden="1" x14ac:dyDescent="0.75">
      <c r="A316" t="s">
        <v>39</v>
      </c>
      <c r="B316" t="s">
        <v>778</v>
      </c>
      <c r="C316" t="s">
        <v>779</v>
      </c>
      <c r="D316" s="4">
        <v>9000000000</v>
      </c>
      <c r="E316" s="5">
        <v>45450</v>
      </c>
      <c r="F316">
        <v>74</v>
      </c>
      <c r="G316" t="b">
        <v>0</v>
      </c>
      <c r="I316" t="str">
        <f t="shared" si="4"/>
        <v>huggingface/google/recurrentgemma-9b-it</v>
      </c>
    </row>
    <row r="317" spans="1:9" hidden="1" x14ac:dyDescent="0.75">
      <c r="A317" t="s">
        <v>39</v>
      </c>
      <c r="B317" t="s">
        <v>780</v>
      </c>
      <c r="C317" t="s">
        <v>781</v>
      </c>
      <c r="D317" s="4">
        <v>7000000000</v>
      </c>
      <c r="E317" s="5">
        <v>45412</v>
      </c>
      <c r="F317">
        <v>244</v>
      </c>
      <c r="G317" t="b">
        <v>0</v>
      </c>
      <c r="I317" t="str">
        <f t="shared" si="4"/>
        <v>huggingface/google/codegemma-1.1-7b-it</v>
      </c>
    </row>
    <row r="318" spans="1:9" hidden="1" x14ac:dyDescent="0.75">
      <c r="A318" t="s">
        <v>39</v>
      </c>
      <c r="B318" t="s">
        <v>782</v>
      </c>
      <c r="C318" t="s">
        <v>783</v>
      </c>
      <c r="D318" s="4">
        <v>2000000000</v>
      </c>
      <c r="E318" s="5">
        <v>45390</v>
      </c>
      <c r="F318">
        <v>2685</v>
      </c>
      <c r="G318" t="b">
        <v>0</v>
      </c>
      <c r="I318" t="str">
        <f t="shared" si="4"/>
        <v>huggingface/google/recurrentgemma-2b-it</v>
      </c>
    </row>
    <row r="319" spans="1:9" hidden="1" x14ac:dyDescent="0.75">
      <c r="A319" t="s">
        <v>39</v>
      </c>
      <c r="B319" t="s">
        <v>784</v>
      </c>
      <c r="C319" t="s">
        <v>785</v>
      </c>
      <c r="D319" s="4">
        <v>2000000000</v>
      </c>
      <c r="E319" s="5">
        <v>45377</v>
      </c>
      <c r="F319">
        <v>184675</v>
      </c>
      <c r="G319" t="b">
        <v>0</v>
      </c>
      <c r="I319" t="str">
        <f t="shared" si="4"/>
        <v>huggingface/google/gemma-1.1-2b-it</v>
      </c>
    </row>
    <row r="320" spans="1:9" hidden="1" x14ac:dyDescent="0.75">
      <c r="A320" t="s">
        <v>39</v>
      </c>
      <c r="B320" t="s">
        <v>786</v>
      </c>
      <c r="C320" t="s">
        <v>787</v>
      </c>
      <c r="D320" s="4">
        <v>7000000000</v>
      </c>
      <c r="E320" s="5">
        <v>45377</v>
      </c>
      <c r="F320">
        <v>14734</v>
      </c>
      <c r="G320" t="b">
        <v>0</v>
      </c>
      <c r="I320" t="str">
        <f t="shared" si="4"/>
        <v>huggingface/google/gemma-1.1-7b-it</v>
      </c>
    </row>
    <row r="321" spans="1:9" hidden="1" x14ac:dyDescent="0.75">
      <c r="A321" t="s">
        <v>39</v>
      </c>
      <c r="B321" t="s">
        <v>788</v>
      </c>
      <c r="C321" t="s">
        <v>789</v>
      </c>
      <c r="D321" s="4">
        <v>7000000000</v>
      </c>
      <c r="E321" s="5">
        <v>45372</v>
      </c>
      <c r="F321">
        <v>4714</v>
      </c>
      <c r="G321" t="b">
        <v>0</v>
      </c>
      <c r="I321" t="str">
        <f t="shared" si="4"/>
        <v>huggingface/google/codegemma-7b-it</v>
      </c>
    </row>
    <row r="322" spans="1:9" hidden="1" x14ac:dyDescent="0.75">
      <c r="A322" t="s">
        <v>39</v>
      </c>
      <c r="B322" t="s">
        <v>790</v>
      </c>
      <c r="C322" t="s">
        <v>791</v>
      </c>
      <c r="D322" s="4">
        <v>7000000000</v>
      </c>
      <c r="E322" s="5">
        <v>45335</v>
      </c>
      <c r="F322">
        <v>93163</v>
      </c>
      <c r="G322" t="b">
        <v>0</v>
      </c>
      <c r="I322" t="str">
        <f t="shared" si="4"/>
        <v>huggingface/google/gemma-7b-it</v>
      </c>
    </row>
    <row r="323" spans="1:9" hidden="1" x14ac:dyDescent="0.75">
      <c r="A323" t="s">
        <v>39</v>
      </c>
      <c r="B323" t="s">
        <v>792</v>
      </c>
      <c r="C323" t="s">
        <v>793</v>
      </c>
      <c r="D323" s="4">
        <v>2000000000</v>
      </c>
      <c r="E323" s="5">
        <v>45330</v>
      </c>
      <c r="F323">
        <v>255898</v>
      </c>
      <c r="G323" t="b">
        <v>0</v>
      </c>
      <c r="I323" t="str">
        <f t="shared" ref="I323:I386" si="5">"huggingface/"&amp;A323&amp;"/"&amp;B323</f>
        <v>huggingface/google/gemma-2b-it</v>
      </c>
    </row>
    <row r="324" spans="1:9" hidden="1" x14ac:dyDescent="0.75">
      <c r="A324" t="s">
        <v>64</v>
      </c>
      <c r="B324" t="s">
        <v>794</v>
      </c>
      <c r="C324" t="s">
        <v>795</v>
      </c>
      <c r="E324" s="5">
        <v>45849</v>
      </c>
      <c r="F324">
        <v>5060</v>
      </c>
      <c r="G324" t="b">
        <v>0</v>
      </c>
      <c r="I324" t="str">
        <f t="shared" si="5"/>
        <v>huggingface/microsoft/MediPhi-Instruct</v>
      </c>
    </row>
    <row r="325" spans="1:9" hidden="1" x14ac:dyDescent="0.75">
      <c r="A325" t="s">
        <v>64</v>
      </c>
      <c r="B325" t="s">
        <v>796</v>
      </c>
      <c r="C325" t="s">
        <v>797</v>
      </c>
      <c r="E325" s="5">
        <v>45831</v>
      </c>
      <c r="F325">
        <v>2871</v>
      </c>
      <c r="G325" t="b">
        <v>0</v>
      </c>
      <c r="I325" t="str">
        <f t="shared" si="5"/>
        <v>huggingface/microsoft/Phi-tiny-MoE-instruct</v>
      </c>
    </row>
    <row r="326" spans="1:9" hidden="1" x14ac:dyDescent="0.75">
      <c r="A326" t="s">
        <v>64</v>
      </c>
      <c r="B326" t="s">
        <v>798</v>
      </c>
      <c r="C326" t="s">
        <v>799</v>
      </c>
      <c r="E326" s="5">
        <v>45831</v>
      </c>
      <c r="F326">
        <v>1849</v>
      </c>
      <c r="G326" t="b">
        <v>0</v>
      </c>
      <c r="I326" t="str">
        <f t="shared" si="5"/>
        <v>huggingface/microsoft/Phi-mini-MoE-instruct</v>
      </c>
    </row>
    <row r="327" spans="1:9" hidden="1" x14ac:dyDescent="0.75">
      <c r="A327" t="s">
        <v>64</v>
      </c>
      <c r="B327" t="s">
        <v>800</v>
      </c>
      <c r="C327" t="s">
        <v>801</v>
      </c>
      <c r="E327" s="5">
        <v>45827</v>
      </c>
      <c r="F327">
        <v>19464</v>
      </c>
      <c r="G327" t="b">
        <v>0</v>
      </c>
      <c r="I327" t="str">
        <f t="shared" si="5"/>
        <v>huggingface/microsoft/Phi-4-mini-flash-reasoning</v>
      </c>
    </row>
    <row r="328" spans="1:9" hidden="1" x14ac:dyDescent="0.75">
      <c r="A328" t="s">
        <v>64</v>
      </c>
      <c r="B328" t="s">
        <v>802</v>
      </c>
      <c r="C328" t="s">
        <v>803</v>
      </c>
      <c r="D328" s="4">
        <v>2000000000</v>
      </c>
      <c r="E328" s="5">
        <v>45811</v>
      </c>
      <c r="F328">
        <v>422</v>
      </c>
      <c r="G328" t="b">
        <v>0</v>
      </c>
      <c r="I328" t="str">
        <f t="shared" si="5"/>
        <v>huggingface/microsoft/GUI-Actor-Verifier-2B</v>
      </c>
    </row>
    <row r="329" spans="1:9" hidden="1" x14ac:dyDescent="0.75">
      <c r="A329" t="s">
        <v>64</v>
      </c>
      <c r="B329" t="s">
        <v>804</v>
      </c>
      <c r="C329" t="s">
        <v>805</v>
      </c>
      <c r="D329" s="4">
        <v>7000000000</v>
      </c>
      <c r="E329" s="5">
        <v>45809</v>
      </c>
      <c r="F329">
        <v>1099</v>
      </c>
      <c r="G329" t="b">
        <v>0</v>
      </c>
      <c r="I329" t="str">
        <f t="shared" si="5"/>
        <v>huggingface/microsoft/GUI-Actor-7B-Qwen2-VL</v>
      </c>
    </row>
    <row r="330" spans="1:9" hidden="1" x14ac:dyDescent="0.75">
      <c r="A330" t="s">
        <v>64</v>
      </c>
      <c r="B330" t="s">
        <v>806</v>
      </c>
      <c r="C330" t="s">
        <v>807</v>
      </c>
      <c r="D330" s="4">
        <v>7000000000</v>
      </c>
      <c r="E330" s="5">
        <v>45809</v>
      </c>
      <c r="F330">
        <v>718</v>
      </c>
      <c r="G330" t="b">
        <v>0</v>
      </c>
      <c r="I330" t="str">
        <f t="shared" si="5"/>
        <v>huggingface/microsoft/GUI-Actor-7B-Qwen2.5-VL</v>
      </c>
    </row>
    <row r="331" spans="1:9" hidden="1" x14ac:dyDescent="0.75">
      <c r="A331" t="s">
        <v>64</v>
      </c>
      <c r="B331" t="s">
        <v>808</v>
      </c>
      <c r="C331" t="s">
        <v>809</v>
      </c>
      <c r="D331" s="4">
        <v>3000000000</v>
      </c>
      <c r="E331" s="5">
        <v>45809</v>
      </c>
      <c r="F331">
        <v>528</v>
      </c>
      <c r="G331" t="b">
        <v>0</v>
      </c>
      <c r="I331" t="str">
        <f t="shared" si="5"/>
        <v>huggingface/microsoft/GUI-Actor-3B-Qwen2.5-VL</v>
      </c>
    </row>
    <row r="332" spans="1:9" hidden="1" x14ac:dyDescent="0.75">
      <c r="A332" t="s">
        <v>64</v>
      </c>
      <c r="B332" t="s">
        <v>810</v>
      </c>
      <c r="C332" t="s">
        <v>811</v>
      </c>
      <c r="D332" s="4">
        <v>2000000000</v>
      </c>
      <c r="E332" s="5">
        <v>45809</v>
      </c>
      <c r="F332">
        <v>162</v>
      </c>
      <c r="G332" t="b">
        <v>0</v>
      </c>
      <c r="I332" t="str">
        <f t="shared" si="5"/>
        <v>huggingface/microsoft/GUI-Actor-2B-Qwen2-VL</v>
      </c>
    </row>
    <row r="333" spans="1:9" hidden="1" x14ac:dyDescent="0.75">
      <c r="A333" t="s">
        <v>64</v>
      </c>
      <c r="B333" t="s">
        <v>812</v>
      </c>
      <c r="C333" t="s">
        <v>813</v>
      </c>
      <c r="E333" s="5">
        <v>45807</v>
      </c>
      <c r="F333">
        <v>26</v>
      </c>
      <c r="G333" t="b">
        <v>0</v>
      </c>
      <c r="I333" t="str">
        <f t="shared" si="5"/>
        <v>huggingface/microsoft/MediPhi-MedWiki</v>
      </c>
    </row>
    <row r="334" spans="1:9" hidden="1" x14ac:dyDescent="0.75">
      <c r="A334" t="s">
        <v>64</v>
      </c>
      <c r="B334" t="s">
        <v>814</v>
      </c>
      <c r="C334" t="s">
        <v>815</v>
      </c>
      <c r="E334" s="5">
        <v>45807</v>
      </c>
      <c r="F334">
        <v>23</v>
      </c>
      <c r="G334" t="b">
        <v>0</v>
      </c>
      <c r="I334" t="str">
        <f t="shared" si="5"/>
        <v>huggingface/microsoft/MediPhi-Guidelines</v>
      </c>
    </row>
    <row r="335" spans="1:9" hidden="1" x14ac:dyDescent="0.75">
      <c r="A335" t="s">
        <v>64</v>
      </c>
      <c r="B335" t="s">
        <v>816</v>
      </c>
      <c r="C335" t="s">
        <v>817</v>
      </c>
      <c r="E335" s="5">
        <v>45806</v>
      </c>
      <c r="F335">
        <v>576</v>
      </c>
      <c r="G335" t="b">
        <v>0</v>
      </c>
      <c r="I335" t="str">
        <f t="shared" si="5"/>
        <v>huggingface/microsoft/MediPhi-Clinical</v>
      </c>
    </row>
    <row r="336" spans="1:9" hidden="1" x14ac:dyDescent="0.75">
      <c r="A336" t="s">
        <v>64</v>
      </c>
      <c r="B336" t="s">
        <v>818</v>
      </c>
      <c r="C336" t="s">
        <v>819</v>
      </c>
      <c r="E336" s="5">
        <v>45806</v>
      </c>
      <c r="F336">
        <v>382</v>
      </c>
      <c r="G336" t="b">
        <v>0</v>
      </c>
      <c r="I336" t="str">
        <f t="shared" si="5"/>
        <v>huggingface/microsoft/MediPhi-MedCode</v>
      </c>
    </row>
    <row r="337" spans="1:9" hidden="1" x14ac:dyDescent="0.75">
      <c r="A337" t="s">
        <v>64</v>
      </c>
      <c r="B337" t="s">
        <v>820</v>
      </c>
      <c r="C337" t="s">
        <v>821</v>
      </c>
      <c r="E337" s="5">
        <v>45805</v>
      </c>
      <c r="F337">
        <v>487</v>
      </c>
      <c r="G337" t="b">
        <v>0</v>
      </c>
      <c r="I337" t="str">
        <f t="shared" si="5"/>
        <v>huggingface/microsoft/MediPhi-PubMed</v>
      </c>
    </row>
    <row r="338" spans="1:9" hidden="1" x14ac:dyDescent="0.75">
      <c r="A338" t="s">
        <v>64</v>
      </c>
      <c r="B338" t="s">
        <v>822</v>
      </c>
      <c r="C338" t="s">
        <v>823</v>
      </c>
      <c r="D338" s="4">
        <v>7000000000</v>
      </c>
      <c r="E338" s="5">
        <v>45780</v>
      </c>
      <c r="F338">
        <v>1139</v>
      </c>
      <c r="G338" t="b">
        <v>0</v>
      </c>
      <c r="I338" t="str">
        <f t="shared" si="5"/>
        <v>huggingface/microsoft/NextCoder-7B</v>
      </c>
    </row>
    <row r="339" spans="1:9" hidden="1" x14ac:dyDescent="0.75">
      <c r="A339" t="s">
        <v>64</v>
      </c>
      <c r="B339" t="s">
        <v>824</v>
      </c>
      <c r="C339" t="s">
        <v>825</v>
      </c>
      <c r="D339" s="4">
        <v>32000000000</v>
      </c>
      <c r="E339" s="5">
        <v>45780</v>
      </c>
      <c r="F339">
        <v>1062</v>
      </c>
      <c r="G339" t="b">
        <v>0</v>
      </c>
      <c r="I339" t="str">
        <f t="shared" si="5"/>
        <v>huggingface/microsoft/NextCoder-32B</v>
      </c>
    </row>
    <row r="340" spans="1:9" hidden="1" x14ac:dyDescent="0.75">
      <c r="A340" t="s">
        <v>64</v>
      </c>
      <c r="B340" t="s">
        <v>826</v>
      </c>
      <c r="C340" t="s">
        <v>827</v>
      </c>
      <c r="D340" s="4">
        <v>14000000000</v>
      </c>
      <c r="E340" s="5">
        <v>45780</v>
      </c>
      <c r="F340">
        <v>243</v>
      </c>
      <c r="G340" t="b">
        <v>0</v>
      </c>
      <c r="I340" t="str">
        <f t="shared" si="5"/>
        <v>huggingface/microsoft/NextCoder-14B</v>
      </c>
    </row>
    <row r="341" spans="1:9" hidden="1" x14ac:dyDescent="0.75">
      <c r="A341" t="s">
        <v>64</v>
      </c>
      <c r="B341" t="s">
        <v>828</v>
      </c>
      <c r="C341" t="s">
        <v>829</v>
      </c>
      <c r="E341" s="5">
        <v>45776</v>
      </c>
      <c r="F341">
        <v>21108</v>
      </c>
      <c r="G341" t="b">
        <v>0</v>
      </c>
      <c r="I341" t="str">
        <f t="shared" si="5"/>
        <v>huggingface/microsoft/Phi-4-mini-reasoning</v>
      </c>
    </row>
    <row r="342" spans="1:9" hidden="1" x14ac:dyDescent="0.75">
      <c r="A342" t="s">
        <v>64</v>
      </c>
      <c r="B342" t="s">
        <v>830</v>
      </c>
      <c r="C342" t="s">
        <v>831</v>
      </c>
      <c r="E342" s="5">
        <v>45764</v>
      </c>
      <c r="F342">
        <v>11195</v>
      </c>
      <c r="G342" t="b">
        <v>0</v>
      </c>
      <c r="I342" t="str">
        <f t="shared" si="5"/>
        <v>huggingface/microsoft/Phi-4-reasoning-plus</v>
      </c>
    </row>
    <row r="343" spans="1:9" hidden="1" x14ac:dyDescent="0.75">
      <c r="A343" t="s">
        <v>64</v>
      </c>
      <c r="B343" t="s">
        <v>832</v>
      </c>
      <c r="C343" t="s">
        <v>833</v>
      </c>
      <c r="E343" s="5">
        <v>45763</v>
      </c>
      <c r="F343">
        <v>1905</v>
      </c>
      <c r="G343" t="b">
        <v>0</v>
      </c>
      <c r="I343" t="str">
        <f t="shared" si="5"/>
        <v>huggingface/microsoft/MAI-DS-R1-FP8</v>
      </c>
    </row>
    <row r="344" spans="1:9" hidden="1" x14ac:dyDescent="0.75">
      <c r="A344" t="s">
        <v>64</v>
      </c>
      <c r="B344" t="s">
        <v>834</v>
      </c>
      <c r="C344" t="s">
        <v>835</v>
      </c>
      <c r="E344" s="5">
        <v>45763</v>
      </c>
      <c r="F344">
        <v>822</v>
      </c>
      <c r="G344" t="b">
        <v>0</v>
      </c>
      <c r="I344" t="str">
        <f t="shared" si="5"/>
        <v>huggingface/microsoft/MAI-DS-R1</v>
      </c>
    </row>
    <row r="345" spans="1:9" hidden="1" x14ac:dyDescent="0.75">
      <c r="A345" t="s">
        <v>64</v>
      </c>
      <c r="B345" t="s">
        <v>836</v>
      </c>
      <c r="C345" t="s">
        <v>837</v>
      </c>
      <c r="D345" s="4">
        <v>2000000000</v>
      </c>
      <c r="E345" s="5">
        <v>45762</v>
      </c>
      <c r="F345">
        <v>5025</v>
      </c>
      <c r="G345" t="b">
        <v>0</v>
      </c>
      <c r="I345" t="str">
        <f t="shared" si="5"/>
        <v>huggingface/microsoft/bitnet-b1.58-2B-4T</v>
      </c>
    </row>
    <row r="346" spans="1:9" hidden="1" x14ac:dyDescent="0.75">
      <c r="A346" t="s">
        <v>64</v>
      </c>
      <c r="B346" t="s">
        <v>838</v>
      </c>
      <c r="C346" t="s">
        <v>839</v>
      </c>
      <c r="D346" s="4">
        <v>2000000000</v>
      </c>
      <c r="E346" s="5">
        <v>45762</v>
      </c>
      <c r="F346">
        <v>4301</v>
      </c>
      <c r="G346" t="b">
        <v>0</v>
      </c>
      <c r="I346" t="str">
        <f t="shared" si="5"/>
        <v>huggingface/microsoft/bitnet-b1.58-2B-4T-gguf</v>
      </c>
    </row>
    <row r="347" spans="1:9" hidden="1" x14ac:dyDescent="0.75">
      <c r="A347" t="s">
        <v>64</v>
      </c>
      <c r="B347" t="s">
        <v>840</v>
      </c>
      <c r="C347" t="s">
        <v>841</v>
      </c>
      <c r="D347" s="4">
        <v>2000000000</v>
      </c>
      <c r="E347" s="5">
        <v>45762</v>
      </c>
      <c r="F347">
        <v>2210</v>
      </c>
      <c r="G347" t="b">
        <v>0</v>
      </c>
      <c r="I347" t="str">
        <f t="shared" si="5"/>
        <v>huggingface/microsoft/bitnet-b1.58-2B-4T-bf16</v>
      </c>
    </row>
    <row r="348" spans="1:9" hidden="1" x14ac:dyDescent="0.75">
      <c r="A348" t="s">
        <v>64</v>
      </c>
      <c r="B348" t="s">
        <v>842</v>
      </c>
      <c r="C348" t="s">
        <v>843</v>
      </c>
      <c r="E348" s="5">
        <v>45756</v>
      </c>
      <c r="F348">
        <v>8247</v>
      </c>
      <c r="G348" t="b">
        <v>0</v>
      </c>
      <c r="I348" t="str">
        <f t="shared" si="5"/>
        <v>huggingface/microsoft/Phi-4-reasoning</v>
      </c>
    </row>
    <row r="349" spans="1:9" hidden="1" x14ac:dyDescent="0.75">
      <c r="A349" t="s">
        <v>64</v>
      </c>
      <c r="B349" t="s">
        <v>844</v>
      </c>
      <c r="C349" t="s">
        <v>845</v>
      </c>
      <c r="E349" s="5">
        <v>45713</v>
      </c>
      <c r="F349">
        <v>113</v>
      </c>
      <c r="G349" t="b">
        <v>0</v>
      </c>
      <c r="I349" t="str">
        <f t="shared" si="5"/>
        <v>huggingface/microsoft/Phi-4-mini-instruct-onnx</v>
      </c>
    </row>
    <row r="350" spans="1:9" hidden="1" x14ac:dyDescent="0.75">
      <c r="A350" t="s">
        <v>64</v>
      </c>
      <c r="B350" t="s">
        <v>846</v>
      </c>
      <c r="C350" t="s">
        <v>847</v>
      </c>
      <c r="E350" s="5">
        <v>45713</v>
      </c>
      <c r="F350">
        <v>51</v>
      </c>
      <c r="G350" t="b">
        <v>0</v>
      </c>
      <c r="I350" t="str">
        <f t="shared" si="5"/>
        <v>huggingface/microsoft/Phi-4-multimodal-instruct-onnx</v>
      </c>
    </row>
    <row r="351" spans="1:9" hidden="1" x14ac:dyDescent="0.75">
      <c r="A351" t="s">
        <v>64</v>
      </c>
      <c r="B351" t="s">
        <v>848</v>
      </c>
      <c r="C351" t="s">
        <v>849</v>
      </c>
      <c r="E351" s="5">
        <v>45712</v>
      </c>
      <c r="F351">
        <v>437281</v>
      </c>
      <c r="G351" t="b">
        <v>0</v>
      </c>
      <c r="I351" t="str">
        <f t="shared" si="5"/>
        <v>huggingface/microsoft/Phi-4-multimodal-instruct</v>
      </c>
    </row>
    <row r="352" spans="1:9" hidden="1" x14ac:dyDescent="0.75">
      <c r="A352" t="s">
        <v>64</v>
      </c>
      <c r="B352" t="s">
        <v>850</v>
      </c>
      <c r="C352" t="s">
        <v>851</v>
      </c>
      <c r="D352" s="4">
        <v>8000000000</v>
      </c>
      <c r="E352" s="5">
        <v>45711</v>
      </c>
      <c r="F352">
        <v>12072</v>
      </c>
      <c r="G352" t="b">
        <v>0</v>
      </c>
      <c r="I352" t="str">
        <f t="shared" si="5"/>
        <v>huggingface/microsoft/Magma-8B</v>
      </c>
    </row>
    <row r="353" spans="1:9" hidden="1" x14ac:dyDescent="0.75">
      <c r="A353" t="s">
        <v>64</v>
      </c>
      <c r="B353" t="s">
        <v>852</v>
      </c>
      <c r="C353" t="s">
        <v>853</v>
      </c>
      <c r="E353" s="5">
        <v>45707</v>
      </c>
      <c r="F353">
        <v>181418</v>
      </c>
      <c r="G353" t="b">
        <v>0</v>
      </c>
      <c r="I353" t="str">
        <f t="shared" si="5"/>
        <v>huggingface/microsoft/Phi-4-mini-instruct</v>
      </c>
    </row>
    <row r="354" spans="1:9" hidden="1" x14ac:dyDescent="0.75">
      <c r="A354" t="s">
        <v>64</v>
      </c>
      <c r="B354" t="s">
        <v>854</v>
      </c>
      <c r="C354" t="s">
        <v>855</v>
      </c>
      <c r="E354" s="5">
        <v>45691</v>
      </c>
      <c r="F354">
        <v>222</v>
      </c>
      <c r="G354" t="b">
        <v>0</v>
      </c>
      <c r="I354" t="str">
        <f t="shared" si="5"/>
        <v>huggingface/microsoft/MediPhi</v>
      </c>
    </row>
    <row r="355" spans="1:9" hidden="1" x14ac:dyDescent="0.75">
      <c r="A355" t="s">
        <v>64</v>
      </c>
      <c r="B355" t="s">
        <v>856</v>
      </c>
      <c r="C355" t="s">
        <v>857</v>
      </c>
      <c r="E355" s="5">
        <v>45665</v>
      </c>
      <c r="F355">
        <v>9554</v>
      </c>
      <c r="G355" t="b">
        <v>0</v>
      </c>
      <c r="I355" t="str">
        <f t="shared" si="5"/>
        <v>huggingface/microsoft/phi-4-gguf</v>
      </c>
    </row>
    <row r="356" spans="1:9" x14ac:dyDescent="0.75">
      <c r="A356" t="s">
        <v>64</v>
      </c>
      <c r="B356" t="s">
        <v>858</v>
      </c>
      <c r="C356" t="s">
        <v>859</v>
      </c>
      <c r="E356" s="5">
        <v>45637</v>
      </c>
      <c r="F356">
        <v>638963</v>
      </c>
      <c r="G356" t="b">
        <v>1</v>
      </c>
      <c r="I356" t="str">
        <f t="shared" si="5"/>
        <v>huggingface/microsoft/phi-4</v>
      </c>
    </row>
    <row r="357" spans="1:9" hidden="1" x14ac:dyDescent="0.75">
      <c r="A357" t="s">
        <v>64</v>
      </c>
      <c r="B357" t="s">
        <v>860</v>
      </c>
      <c r="C357" t="s">
        <v>861</v>
      </c>
      <c r="D357" s="4">
        <v>1000000000</v>
      </c>
      <c r="E357" s="5">
        <v>45626</v>
      </c>
      <c r="F357">
        <v>542</v>
      </c>
      <c r="G357" t="b">
        <v>0</v>
      </c>
      <c r="I357" t="str">
        <f t="shared" si="5"/>
        <v>huggingface/microsoft/LLM2CLIP-Llama-3.2-1B-Instruct-CC-Finetuned</v>
      </c>
    </row>
    <row r="358" spans="1:9" hidden="1" x14ac:dyDescent="0.75">
      <c r="A358" t="s">
        <v>64</v>
      </c>
      <c r="B358" t="s">
        <v>862</v>
      </c>
      <c r="C358" t="s">
        <v>863</v>
      </c>
      <c r="D358" s="4">
        <v>8000000000</v>
      </c>
      <c r="E358" s="5">
        <v>45612</v>
      </c>
      <c r="F358">
        <v>3831</v>
      </c>
      <c r="G358" t="b">
        <v>0</v>
      </c>
      <c r="I358" t="str">
        <f t="shared" si="5"/>
        <v>huggingface/microsoft/LLM2CLIP-Llama-3-8B-Instruct-CC-Finetuned</v>
      </c>
    </row>
    <row r="359" spans="1:9" hidden="1" x14ac:dyDescent="0.75">
      <c r="A359" t="s">
        <v>64</v>
      </c>
      <c r="B359" t="s">
        <v>864</v>
      </c>
      <c r="C359" t="s">
        <v>865</v>
      </c>
      <c r="E359" s="5">
        <v>45604</v>
      </c>
      <c r="F359">
        <v>33</v>
      </c>
      <c r="G359" t="b">
        <v>0</v>
      </c>
      <c r="I359" t="str">
        <f t="shared" si="5"/>
        <v>huggingface/microsoft/Phi-3.5-vision-instruct-onnx</v>
      </c>
    </row>
    <row r="360" spans="1:9" hidden="1" x14ac:dyDescent="0.75">
      <c r="A360" t="s">
        <v>64</v>
      </c>
      <c r="B360" t="s">
        <v>866</v>
      </c>
      <c r="C360" t="s">
        <v>867</v>
      </c>
      <c r="E360" s="5">
        <v>45604</v>
      </c>
      <c r="F360">
        <v>13</v>
      </c>
      <c r="G360" t="b">
        <v>0</v>
      </c>
      <c r="I360" t="str">
        <f t="shared" si="5"/>
        <v>huggingface/microsoft/Phi-3-vision-128k-instruct-onnx</v>
      </c>
    </row>
    <row r="361" spans="1:9" hidden="1" x14ac:dyDescent="0.75">
      <c r="A361" t="s">
        <v>64</v>
      </c>
      <c r="B361" t="s">
        <v>868</v>
      </c>
      <c r="C361" t="s">
        <v>869</v>
      </c>
      <c r="E361" s="5">
        <v>45547</v>
      </c>
      <c r="F361">
        <v>833</v>
      </c>
      <c r="G361" t="b">
        <v>0</v>
      </c>
      <c r="I361" t="str">
        <f t="shared" si="5"/>
        <v>huggingface/microsoft/Phi-3.5-mini-instruct-onnx</v>
      </c>
    </row>
    <row r="362" spans="1:9" hidden="1" x14ac:dyDescent="0.75">
      <c r="A362" t="s">
        <v>64</v>
      </c>
      <c r="B362" t="s">
        <v>870</v>
      </c>
      <c r="C362" t="s">
        <v>871</v>
      </c>
      <c r="E362" s="5">
        <v>45545</v>
      </c>
      <c r="F362">
        <v>304</v>
      </c>
      <c r="G362" t="b">
        <v>0</v>
      </c>
      <c r="I362" t="str">
        <f t="shared" si="5"/>
        <v>huggingface/microsoft/GRIN-MoE</v>
      </c>
    </row>
    <row r="363" spans="1:9" hidden="1" x14ac:dyDescent="0.75">
      <c r="A363" t="s">
        <v>64</v>
      </c>
      <c r="B363" t="s">
        <v>872</v>
      </c>
      <c r="C363" t="s">
        <v>873</v>
      </c>
      <c r="E363" s="5">
        <v>45526</v>
      </c>
      <c r="F363">
        <v>4</v>
      </c>
      <c r="G363" t="b">
        <v>0</v>
      </c>
      <c r="I363" t="str">
        <f t="shared" si="5"/>
        <v>huggingface/microsoft/kosmos-2.5-chat</v>
      </c>
    </row>
    <row r="364" spans="1:9" hidden="1" x14ac:dyDescent="0.75">
      <c r="A364" t="s">
        <v>64</v>
      </c>
      <c r="B364" t="s">
        <v>874</v>
      </c>
      <c r="C364" t="s">
        <v>875</v>
      </c>
      <c r="E364" s="5">
        <v>45521</v>
      </c>
      <c r="F364">
        <v>176390</v>
      </c>
      <c r="G364" t="b">
        <v>0</v>
      </c>
      <c r="I364" t="str">
        <f t="shared" si="5"/>
        <v>huggingface/microsoft/Phi-3.5-MoE-instruct</v>
      </c>
    </row>
    <row r="365" spans="1:9" hidden="1" x14ac:dyDescent="0.75">
      <c r="A365" t="s">
        <v>64</v>
      </c>
      <c r="B365" t="s">
        <v>876</v>
      </c>
      <c r="C365" t="s">
        <v>877</v>
      </c>
      <c r="E365" s="5">
        <v>45520</v>
      </c>
      <c r="F365">
        <v>483409</v>
      </c>
      <c r="G365" t="b">
        <v>0</v>
      </c>
      <c r="I365" t="str">
        <f t="shared" si="5"/>
        <v>huggingface/microsoft/Phi-3.5-vision-instruct</v>
      </c>
    </row>
    <row r="366" spans="1:9" hidden="1" x14ac:dyDescent="0.75">
      <c r="A366" t="s">
        <v>64</v>
      </c>
      <c r="B366" t="s">
        <v>878</v>
      </c>
      <c r="C366" s="2" t="s">
        <v>879</v>
      </c>
      <c r="E366" s="5">
        <v>45520</v>
      </c>
      <c r="F366">
        <v>212990</v>
      </c>
      <c r="G366" t="b">
        <v>0</v>
      </c>
      <c r="I366" t="str">
        <f t="shared" si="5"/>
        <v>huggingface/microsoft/Phi-3.5-mini-instruct</v>
      </c>
    </row>
    <row r="367" spans="1:9" hidden="1" x14ac:dyDescent="0.75">
      <c r="A367" t="s">
        <v>64</v>
      </c>
      <c r="B367" t="s">
        <v>880</v>
      </c>
      <c r="C367" t="s">
        <v>881</v>
      </c>
      <c r="E367" s="5">
        <v>45502</v>
      </c>
      <c r="F367">
        <v>9504</v>
      </c>
      <c r="G367" t="b">
        <v>0</v>
      </c>
      <c r="I367" t="str">
        <f t="shared" si="5"/>
        <v>huggingface/microsoft/maira-2</v>
      </c>
    </row>
    <row r="368" spans="1:9" hidden="1" x14ac:dyDescent="0.75">
      <c r="A368" t="s">
        <v>64</v>
      </c>
      <c r="B368" t="s">
        <v>882</v>
      </c>
      <c r="C368" t="s">
        <v>883</v>
      </c>
      <c r="D368" s="4">
        <v>7000000000</v>
      </c>
      <c r="E368" s="5">
        <v>45432</v>
      </c>
      <c r="F368">
        <v>17</v>
      </c>
      <c r="G368" t="b">
        <v>0</v>
      </c>
      <c r="I368" t="str">
        <f t="shared" si="5"/>
        <v>huggingface/microsoft/mistral-7b-instruct-v0.2-ONNX</v>
      </c>
    </row>
    <row r="369" spans="1:9" hidden="1" x14ac:dyDescent="0.75">
      <c r="A369" t="s">
        <v>64</v>
      </c>
      <c r="B369" t="s">
        <v>884</v>
      </c>
      <c r="C369" t="s">
        <v>885</v>
      </c>
      <c r="E369" s="5">
        <v>45431</v>
      </c>
      <c r="F369">
        <v>38298</v>
      </c>
      <c r="G369" t="b">
        <v>0</v>
      </c>
      <c r="I369" t="str">
        <f t="shared" si="5"/>
        <v>huggingface/microsoft/Phi-3-vision-128k-instruct</v>
      </c>
    </row>
    <row r="370" spans="1:9" hidden="1" x14ac:dyDescent="0.75">
      <c r="A370" t="s">
        <v>64</v>
      </c>
      <c r="B370" t="s">
        <v>886</v>
      </c>
      <c r="C370" t="s">
        <v>887</v>
      </c>
      <c r="E370" s="5">
        <v>45431</v>
      </c>
      <c r="F370">
        <v>34</v>
      </c>
      <c r="G370" t="b">
        <v>0</v>
      </c>
      <c r="I370" t="str">
        <f t="shared" si="5"/>
        <v>huggingface/microsoft/Phi-3-medium-128k-instruct-onnx-cpu</v>
      </c>
    </row>
    <row r="371" spans="1:9" hidden="1" x14ac:dyDescent="0.75">
      <c r="A371" t="s">
        <v>64</v>
      </c>
      <c r="B371" t="s">
        <v>888</v>
      </c>
      <c r="C371" t="s">
        <v>889</v>
      </c>
      <c r="E371" s="5">
        <v>45431</v>
      </c>
      <c r="F371">
        <v>28</v>
      </c>
      <c r="G371" t="b">
        <v>0</v>
      </c>
      <c r="I371" t="str">
        <f t="shared" si="5"/>
        <v>huggingface/microsoft/Phi-3-vision-128k-instruct-onnx-cpu</v>
      </c>
    </row>
    <row r="372" spans="1:9" hidden="1" x14ac:dyDescent="0.75">
      <c r="A372" t="s">
        <v>64</v>
      </c>
      <c r="B372" t="s">
        <v>890</v>
      </c>
      <c r="C372" t="s">
        <v>891</v>
      </c>
      <c r="E372" s="5">
        <v>45431</v>
      </c>
      <c r="F372">
        <v>16</v>
      </c>
      <c r="G372" t="b">
        <v>0</v>
      </c>
      <c r="I372" t="str">
        <f t="shared" si="5"/>
        <v>huggingface/microsoft/Phi-3-medium-4k-instruct-onnx-cpu</v>
      </c>
    </row>
    <row r="373" spans="1:9" hidden="1" x14ac:dyDescent="0.75">
      <c r="A373" t="s">
        <v>64</v>
      </c>
      <c r="B373" t="s">
        <v>892</v>
      </c>
      <c r="C373" t="s">
        <v>893</v>
      </c>
      <c r="E373" s="5">
        <v>45431</v>
      </c>
      <c r="F373">
        <v>16</v>
      </c>
      <c r="G373" t="b">
        <v>0</v>
      </c>
      <c r="I373" t="str">
        <f t="shared" si="5"/>
        <v>huggingface/microsoft/Phi-3-small-8k-instruct-onnx-cuda</v>
      </c>
    </row>
    <row r="374" spans="1:9" hidden="1" x14ac:dyDescent="0.75">
      <c r="A374" t="s">
        <v>64</v>
      </c>
      <c r="B374" t="s">
        <v>894</v>
      </c>
      <c r="C374" t="s">
        <v>895</v>
      </c>
      <c r="E374" s="5">
        <v>45431</v>
      </c>
      <c r="F374">
        <v>15</v>
      </c>
      <c r="G374" t="b">
        <v>0</v>
      </c>
      <c r="I374" t="str">
        <f t="shared" si="5"/>
        <v>huggingface/microsoft/Phi-3-medium-4k-instruct-onnx-cuda</v>
      </c>
    </row>
    <row r="375" spans="1:9" hidden="1" x14ac:dyDescent="0.75">
      <c r="A375" t="s">
        <v>64</v>
      </c>
      <c r="B375" t="s">
        <v>896</v>
      </c>
      <c r="C375" t="s">
        <v>897</v>
      </c>
      <c r="E375" s="5">
        <v>45431</v>
      </c>
      <c r="F375">
        <v>13</v>
      </c>
      <c r="G375" t="b">
        <v>0</v>
      </c>
      <c r="I375" t="str">
        <f t="shared" si="5"/>
        <v>huggingface/microsoft/Phi-3-medium-4k-instruct-onnx-directml</v>
      </c>
    </row>
    <row r="376" spans="1:9" hidden="1" x14ac:dyDescent="0.75">
      <c r="A376" t="s">
        <v>64</v>
      </c>
      <c r="B376" t="s">
        <v>898</v>
      </c>
      <c r="C376" t="s">
        <v>899</v>
      </c>
      <c r="E376" s="5">
        <v>45431</v>
      </c>
      <c r="F376">
        <v>12</v>
      </c>
      <c r="G376" t="b">
        <v>0</v>
      </c>
      <c r="I376" t="str">
        <f t="shared" si="5"/>
        <v>huggingface/microsoft/Phi-3-medium-128k-instruct-onnx-directml</v>
      </c>
    </row>
    <row r="377" spans="1:9" hidden="1" x14ac:dyDescent="0.75">
      <c r="A377" t="s">
        <v>64</v>
      </c>
      <c r="B377" t="s">
        <v>900</v>
      </c>
      <c r="C377" t="s">
        <v>901</v>
      </c>
      <c r="E377" s="5">
        <v>45431</v>
      </c>
      <c r="F377">
        <v>10</v>
      </c>
      <c r="G377" t="b">
        <v>0</v>
      </c>
      <c r="I377" t="str">
        <f t="shared" si="5"/>
        <v>huggingface/microsoft/Phi-3-vision-128k-instruct-onnx-cuda</v>
      </c>
    </row>
    <row r="378" spans="1:9" hidden="1" x14ac:dyDescent="0.75">
      <c r="A378" t="s">
        <v>64</v>
      </c>
      <c r="B378" t="s">
        <v>902</v>
      </c>
      <c r="C378" t="s">
        <v>903</v>
      </c>
      <c r="E378" s="5">
        <v>45431</v>
      </c>
      <c r="F378">
        <v>9</v>
      </c>
      <c r="G378" t="b">
        <v>0</v>
      </c>
      <c r="I378" t="str">
        <f t="shared" si="5"/>
        <v>huggingface/microsoft/Phi-3-vision-128k-instruct-onnx-directml</v>
      </c>
    </row>
    <row r="379" spans="1:9" hidden="1" x14ac:dyDescent="0.75">
      <c r="A379" t="s">
        <v>64</v>
      </c>
      <c r="B379" t="s">
        <v>904</v>
      </c>
      <c r="C379" t="s">
        <v>905</v>
      </c>
      <c r="E379" s="5">
        <v>45431</v>
      </c>
      <c r="F379">
        <v>9</v>
      </c>
      <c r="G379" t="b">
        <v>0</v>
      </c>
      <c r="I379" t="str">
        <f t="shared" si="5"/>
        <v>huggingface/microsoft/Phi-3-medium-128k-instruct-onnx-cuda</v>
      </c>
    </row>
    <row r="380" spans="1:9" hidden="1" x14ac:dyDescent="0.75">
      <c r="A380" t="s">
        <v>64</v>
      </c>
      <c r="B380" t="s">
        <v>906</v>
      </c>
      <c r="C380" t="s">
        <v>907</v>
      </c>
      <c r="E380" s="5">
        <v>45429</v>
      </c>
      <c r="F380">
        <v>939</v>
      </c>
      <c r="G380" t="b">
        <v>0</v>
      </c>
      <c r="I380" t="str">
        <f t="shared" si="5"/>
        <v>huggingface/microsoft/Phi-3-mini-4k-instruct-onnx-web</v>
      </c>
    </row>
    <row r="381" spans="1:9" hidden="1" x14ac:dyDescent="0.75">
      <c r="A381" t="s">
        <v>64</v>
      </c>
      <c r="B381" t="s">
        <v>908</v>
      </c>
      <c r="C381" t="s">
        <v>909</v>
      </c>
      <c r="D381" s="4">
        <v>7000000000</v>
      </c>
      <c r="E381" s="5">
        <v>45426</v>
      </c>
      <c r="F381">
        <v>8710</v>
      </c>
      <c r="G381" t="b">
        <v>0</v>
      </c>
      <c r="I381" t="str">
        <f t="shared" si="5"/>
        <v>huggingface/microsoft/llava-med-v1.5-mistral-7b</v>
      </c>
    </row>
    <row r="382" spans="1:9" hidden="1" x14ac:dyDescent="0.75">
      <c r="A382" t="s">
        <v>64</v>
      </c>
      <c r="B382" t="s">
        <v>910</v>
      </c>
      <c r="C382" t="s">
        <v>911</v>
      </c>
      <c r="E382" s="5">
        <v>45419</v>
      </c>
      <c r="F382">
        <v>15357</v>
      </c>
      <c r="G382" t="b">
        <v>0</v>
      </c>
      <c r="I382" t="str">
        <f t="shared" si="5"/>
        <v>huggingface/microsoft/Phi-3-medium-4k-instruct</v>
      </c>
    </row>
    <row r="383" spans="1:9" hidden="1" x14ac:dyDescent="0.75">
      <c r="A383" t="s">
        <v>64</v>
      </c>
      <c r="B383" t="s">
        <v>912</v>
      </c>
      <c r="C383" t="s">
        <v>913</v>
      </c>
      <c r="E383" s="5">
        <v>45419</v>
      </c>
      <c r="F383">
        <v>7126</v>
      </c>
      <c r="G383" t="b">
        <v>0</v>
      </c>
      <c r="I383" t="str">
        <f t="shared" si="5"/>
        <v>huggingface/microsoft/Phi-3-medium-128k-instruct</v>
      </c>
    </row>
    <row r="384" spans="1:9" hidden="1" x14ac:dyDescent="0.75">
      <c r="A384" t="s">
        <v>64</v>
      </c>
      <c r="B384" t="s">
        <v>914</v>
      </c>
      <c r="C384" t="s">
        <v>915</v>
      </c>
      <c r="E384" s="5">
        <v>45419</v>
      </c>
      <c r="F384">
        <v>4732</v>
      </c>
      <c r="G384" t="b">
        <v>0</v>
      </c>
      <c r="I384" t="str">
        <f t="shared" si="5"/>
        <v>huggingface/microsoft/Phi-3-small-8k-instruct</v>
      </c>
    </row>
    <row r="385" spans="1:9" hidden="1" x14ac:dyDescent="0.75">
      <c r="A385" t="s">
        <v>64</v>
      </c>
      <c r="B385" t="s">
        <v>916</v>
      </c>
      <c r="C385" t="s">
        <v>917</v>
      </c>
      <c r="E385" s="5">
        <v>45419</v>
      </c>
      <c r="F385">
        <v>3267</v>
      </c>
      <c r="G385" t="b">
        <v>0</v>
      </c>
      <c r="I385" t="str">
        <f t="shared" si="5"/>
        <v>huggingface/microsoft/Phi-3-small-128k-instruct</v>
      </c>
    </row>
    <row r="386" spans="1:9" hidden="1" x14ac:dyDescent="0.75">
      <c r="A386" t="s">
        <v>64</v>
      </c>
      <c r="B386" t="s">
        <v>918</v>
      </c>
      <c r="C386" t="s">
        <v>919</v>
      </c>
      <c r="E386" s="5">
        <v>45405</v>
      </c>
      <c r="F386">
        <v>15842</v>
      </c>
      <c r="G386" t="b">
        <v>0</v>
      </c>
      <c r="I386" t="str">
        <f t="shared" si="5"/>
        <v>huggingface/microsoft/Phi-3-mini-4k-instruct-onnx</v>
      </c>
    </row>
    <row r="387" spans="1:9" hidden="1" x14ac:dyDescent="0.75">
      <c r="A387" t="s">
        <v>64</v>
      </c>
      <c r="B387" t="s">
        <v>920</v>
      </c>
      <c r="C387" t="s">
        <v>921</v>
      </c>
      <c r="E387" s="5">
        <v>45405</v>
      </c>
      <c r="F387">
        <v>943</v>
      </c>
      <c r="G387" t="b">
        <v>0</v>
      </c>
      <c r="I387" t="str">
        <f t="shared" ref="I387:I450" si="6">"huggingface/"&amp;A387&amp;"/"&amp;B387</f>
        <v>huggingface/microsoft/Phi-3-mini-128k-instruct-onnx</v>
      </c>
    </row>
    <row r="388" spans="1:9" hidden="1" x14ac:dyDescent="0.75">
      <c r="A388" t="s">
        <v>64</v>
      </c>
      <c r="B388" t="s">
        <v>922</v>
      </c>
      <c r="C388" t="s">
        <v>923</v>
      </c>
      <c r="E388" s="5">
        <v>45404</v>
      </c>
      <c r="F388">
        <v>960284</v>
      </c>
      <c r="G388" t="b">
        <v>0</v>
      </c>
      <c r="I388" t="str">
        <f t="shared" si="6"/>
        <v>huggingface/microsoft/Phi-3-mini-128k-instruct</v>
      </c>
    </row>
    <row r="389" spans="1:9" hidden="1" x14ac:dyDescent="0.75">
      <c r="A389" t="s">
        <v>64</v>
      </c>
      <c r="B389" t="s">
        <v>924</v>
      </c>
      <c r="C389" t="s">
        <v>925</v>
      </c>
      <c r="E389" s="5">
        <v>45404</v>
      </c>
      <c r="F389">
        <v>470689</v>
      </c>
      <c r="G389" t="b">
        <v>0</v>
      </c>
      <c r="I389" t="str">
        <f t="shared" si="6"/>
        <v>huggingface/microsoft/Phi-3-mini-4k-instruct</v>
      </c>
    </row>
    <row r="390" spans="1:9" hidden="1" x14ac:dyDescent="0.75">
      <c r="A390" t="s">
        <v>64</v>
      </c>
      <c r="B390" t="s">
        <v>926</v>
      </c>
      <c r="C390" t="s">
        <v>927</v>
      </c>
      <c r="E390" s="5">
        <v>45404</v>
      </c>
      <c r="F390">
        <v>60956</v>
      </c>
      <c r="G390" t="b">
        <v>0</v>
      </c>
      <c r="I390" t="str">
        <f t="shared" si="6"/>
        <v>huggingface/microsoft/Phi-3-mini-4k-instruct-gguf</v>
      </c>
    </row>
    <row r="391" spans="1:9" hidden="1" x14ac:dyDescent="0.75">
      <c r="A391" t="s">
        <v>64</v>
      </c>
      <c r="B391" t="s">
        <v>928</v>
      </c>
      <c r="C391" t="s">
        <v>929</v>
      </c>
      <c r="D391" s="4">
        <v>6700000000</v>
      </c>
      <c r="E391" s="5">
        <v>45393</v>
      </c>
      <c r="F391">
        <v>3374</v>
      </c>
      <c r="G391" t="b">
        <v>0</v>
      </c>
      <c r="I391" t="str">
        <f t="shared" si="6"/>
        <v>huggingface/microsoft/wavecoder-ultra-6.7b</v>
      </c>
    </row>
    <row r="392" spans="1:9" hidden="1" x14ac:dyDescent="0.75">
      <c r="A392" t="s">
        <v>64</v>
      </c>
      <c r="B392" t="s">
        <v>930</v>
      </c>
      <c r="C392" t="s">
        <v>931</v>
      </c>
      <c r="E392" s="5">
        <v>44853</v>
      </c>
      <c r="F392">
        <v>271</v>
      </c>
      <c r="G392" t="b">
        <v>0</v>
      </c>
      <c r="I392" t="str">
        <f t="shared" si="6"/>
        <v>huggingface/microsoft/GODEL-v1_1-large-seq2seq</v>
      </c>
    </row>
    <row r="393" spans="1:9" hidden="1" x14ac:dyDescent="0.75">
      <c r="A393" t="s">
        <v>64</v>
      </c>
      <c r="B393" t="s">
        <v>932</v>
      </c>
      <c r="C393" t="s">
        <v>933</v>
      </c>
      <c r="E393" s="5">
        <v>44852</v>
      </c>
      <c r="F393">
        <v>942</v>
      </c>
      <c r="G393" t="b">
        <v>0</v>
      </c>
      <c r="I393" t="str">
        <f t="shared" si="6"/>
        <v>huggingface/microsoft/GODEL-v1_1-base-seq2seq</v>
      </c>
    </row>
    <row r="394" spans="1:9" hidden="1" x14ac:dyDescent="0.75">
      <c r="A394" t="s">
        <v>64</v>
      </c>
      <c r="B394" t="s">
        <v>934</v>
      </c>
      <c r="C394" t="s">
        <v>935</v>
      </c>
      <c r="E394" s="5">
        <v>44622</v>
      </c>
      <c r="F394">
        <v>1189159</v>
      </c>
      <c r="G394" t="b">
        <v>0</v>
      </c>
      <c r="I394" t="str">
        <f t="shared" si="6"/>
        <v>huggingface/microsoft/DialoGPT-medium</v>
      </c>
    </row>
    <row r="395" spans="1:9" hidden="1" x14ac:dyDescent="0.75">
      <c r="A395" t="s">
        <v>64</v>
      </c>
      <c r="B395" t="s">
        <v>936</v>
      </c>
      <c r="C395" t="s">
        <v>937</v>
      </c>
      <c r="E395" s="5">
        <v>44622</v>
      </c>
      <c r="F395">
        <v>365944</v>
      </c>
      <c r="G395" t="b">
        <v>0</v>
      </c>
      <c r="I395" t="str">
        <f t="shared" si="6"/>
        <v>huggingface/microsoft/DialoGPT-large</v>
      </c>
    </row>
    <row r="396" spans="1:9" hidden="1" x14ac:dyDescent="0.75">
      <c r="A396" t="s">
        <v>64</v>
      </c>
      <c r="B396" t="s">
        <v>938</v>
      </c>
      <c r="C396" t="s">
        <v>939</v>
      </c>
      <c r="E396" s="5">
        <v>44622</v>
      </c>
      <c r="F396">
        <v>178256</v>
      </c>
      <c r="G396" t="b">
        <v>0</v>
      </c>
      <c r="I396" t="str">
        <f t="shared" si="6"/>
        <v>huggingface/microsoft/DialoGPT-small</v>
      </c>
    </row>
    <row r="397" spans="1:9" hidden="1" x14ac:dyDescent="0.75">
      <c r="A397" t="s">
        <v>63</v>
      </c>
      <c r="B397" t="s">
        <v>940</v>
      </c>
      <c r="C397" s="2" t="s">
        <v>941</v>
      </c>
      <c r="D397" s="4">
        <v>34000000000</v>
      </c>
      <c r="E397" s="5">
        <v>45790</v>
      </c>
      <c r="F397">
        <v>2610</v>
      </c>
      <c r="G397" t="b">
        <v>0</v>
      </c>
      <c r="I397" t="str">
        <f t="shared" si="6"/>
        <v>huggingface/tiiuae/Falcon-H1-34B-Instruct-GGUF</v>
      </c>
    </row>
    <row r="398" spans="1:9" hidden="1" x14ac:dyDescent="0.75">
      <c r="A398" t="s">
        <v>63</v>
      </c>
      <c r="B398" t="s">
        <v>942</v>
      </c>
      <c r="C398" t="s">
        <v>943</v>
      </c>
      <c r="D398" s="4">
        <v>7000000000</v>
      </c>
      <c r="E398" s="5">
        <v>45790</v>
      </c>
      <c r="F398">
        <v>2575</v>
      </c>
      <c r="G398" t="b">
        <v>0</v>
      </c>
      <c r="I398" t="str">
        <f t="shared" si="6"/>
        <v>huggingface/tiiuae/Falcon-H1-7B-Instruct-GGUF</v>
      </c>
    </row>
    <row r="399" spans="1:9" hidden="1" x14ac:dyDescent="0.75">
      <c r="A399" t="s">
        <v>63</v>
      </c>
      <c r="B399" t="s">
        <v>944</v>
      </c>
      <c r="C399" t="s">
        <v>945</v>
      </c>
      <c r="D399" s="4">
        <v>500000000</v>
      </c>
      <c r="E399" s="5">
        <v>45790</v>
      </c>
      <c r="F399">
        <v>1807</v>
      </c>
      <c r="G399" t="b">
        <v>0</v>
      </c>
      <c r="I399" t="str">
        <f t="shared" si="6"/>
        <v>huggingface/tiiuae/Falcon-H1-0.5B-Instruct-GGUF</v>
      </c>
    </row>
    <row r="400" spans="1:9" hidden="1" x14ac:dyDescent="0.75">
      <c r="A400" t="s">
        <v>63</v>
      </c>
      <c r="B400" t="s">
        <v>946</v>
      </c>
      <c r="C400" t="s">
        <v>947</v>
      </c>
      <c r="D400" s="4">
        <v>1500000000</v>
      </c>
      <c r="E400" s="5">
        <v>45790</v>
      </c>
      <c r="F400">
        <v>1201</v>
      </c>
      <c r="G400" t="b">
        <v>0</v>
      </c>
      <c r="I400" t="str">
        <f t="shared" si="6"/>
        <v>huggingface/tiiuae/Falcon-H1-1.5B-Deep-Instruct-GGUF</v>
      </c>
    </row>
    <row r="401" spans="1:9" hidden="1" x14ac:dyDescent="0.75">
      <c r="A401" t="s">
        <v>63</v>
      </c>
      <c r="B401" t="s">
        <v>948</v>
      </c>
      <c r="C401" t="s">
        <v>949</v>
      </c>
      <c r="D401" s="4">
        <v>1500000000</v>
      </c>
      <c r="E401" s="5">
        <v>45790</v>
      </c>
      <c r="F401">
        <v>1099</v>
      </c>
      <c r="G401" t="b">
        <v>0</v>
      </c>
      <c r="I401" t="str">
        <f t="shared" si="6"/>
        <v>huggingface/tiiuae/Falcon-H1-1.5B-Instruct-GGUF</v>
      </c>
    </row>
    <row r="402" spans="1:9" hidden="1" x14ac:dyDescent="0.75">
      <c r="A402" t="s">
        <v>63</v>
      </c>
      <c r="B402" t="s">
        <v>950</v>
      </c>
      <c r="C402" t="s">
        <v>951</v>
      </c>
      <c r="D402" s="4">
        <v>3000000000</v>
      </c>
      <c r="E402" s="5">
        <v>45790</v>
      </c>
      <c r="F402">
        <v>1077</v>
      </c>
      <c r="G402" t="b">
        <v>0</v>
      </c>
      <c r="I402" t="str">
        <f t="shared" si="6"/>
        <v>huggingface/tiiuae/Falcon-H1-3B-Instruct-GGUF</v>
      </c>
    </row>
    <row r="403" spans="1:9" hidden="1" x14ac:dyDescent="0.75">
      <c r="A403" t="s">
        <v>63</v>
      </c>
      <c r="B403" t="s">
        <v>952</v>
      </c>
      <c r="C403" t="s">
        <v>953</v>
      </c>
      <c r="D403" s="4">
        <v>34000000000</v>
      </c>
      <c r="E403" s="5">
        <v>45789</v>
      </c>
      <c r="F403">
        <v>120</v>
      </c>
      <c r="G403" t="b">
        <v>0</v>
      </c>
      <c r="I403" t="str">
        <f t="shared" si="6"/>
        <v>huggingface/tiiuae/Falcon-H1-34B-Instruct-GPTQ-Int4</v>
      </c>
    </row>
    <row r="404" spans="1:9" hidden="1" x14ac:dyDescent="0.75">
      <c r="A404" t="s">
        <v>63</v>
      </c>
      <c r="B404" t="s">
        <v>954</v>
      </c>
      <c r="C404" t="s">
        <v>955</v>
      </c>
      <c r="D404" s="4">
        <v>7000000000</v>
      </c>
      <c r="E404" s="5">
        <v>45789</v>
      </c>
      <c r="F404">
        <v>48</v>
      </c>
      <c r="G404" t="b">
        <v>0</v>
      </c>
      <c r="I404" t="str">
        <f t="shared" si="6"/>
        <v>huggingface/tiiuae/Falcon-H1-7B-Instruct-GPTQ-Int4</v>
      </c>
    </row>
    <row r="405" spans="1:9" hidden="1" x14ac:dyDescent="0.75">
      <c r="A405" t="s">
        <v>63</v>
      </c>
      <c r="B405" t="s">
        <v>956</v>
      </c>
      <c r="C405" t="s">
        <v>957</v>
      </c>
      <c r="D405" s="4">
        <v>34000000000</v>
      </c>
      <c r="E405" s="5">
        <v>45789</v>
      </c>
      <c r="F405">
        <v>44</v>
      </c>
      <c r="G405" t="b">
        <v>0</v>
      </c>
      <c r="I405" t="str">
        <f t="shared" si="6"/>
        <v>huggingface/tiiuae/Falcon-H1-34B-Instruct-GPTQ-Int8</v>
      </c>
    </row>
    <row r="406" spans="1:9" hidden="1" x14ac:dyDescent="0.75">
      <c r="A406" t="s">
        <v>63</v>
      </c>
      <c r="B406" t="s">
        <v>958</v>
      </c>
      <c r="C406" t="s">
        <v>959</v>
      </c>
      <c r="D406" s="4">
        <v>1500000000</v>
      </c>
      <c r="E406" s="5">
        <v>45789</v>
      </c>
      <c r="F406">
        <v>38</v>
      </c>
      <c r="G406" t="b">
        <v>0</v>
      </c>
      <c r="I406" t="str">
        <f t="shared" si="6"/>
        <v>huggingface/tiiuae/Falcon-H1-1.5B-Instruct-GPTQ-Int8</v>
      </c>
    </row>
    <row r="407" spans="1:9" hidden="1" x14ac:dyDescent="0.75">
      <c r="A407" t="s">
        <v>63</v>
      </c>
      <c r="B407" t="s">
        <v>960</v>
      </c>
      <c r="C407" t="s">
        <v>961</v>
      </c>
      <c r="D407" s="4">
        <v>7000000000</v>
      </c>
      <c r="E407" s="5">
        <v>45789</v>
      </c>
      <c r="F407">
        <v>12</v>
      </c>
      <c r="G407" t="b">
        <v>0</v>
      </c>
      <c r="I407" t="str">
        <f t="shared" si="6"/>
        <v>huggingface/tiiuae/Falcon-H1-7B-Instruct-GPTQ-Int8</v>
      </c>
    </row>
    <row r="408" spans="1:9" hidden="1" x14ac:dyDescent="0.75">
      <c r="A408" t="s">
        <v>63</v>
      </c>
      <c r="B408" t="s">
        <v>962</v>
      </c>
      <c r="C408" t="s">
        <v>963</v>
      </c>
      <c r="D408" s="4">
        <v>1500000000</v>
      </c>
      <c r="E408" s="5">
        <v>45789</v>
      </c>
      <c r="F408">
        <v>12</v>
      </c>
      <c r="G408" t="b">
        <v>0</v>
      </c>
      <c r="I408" t="str">
        <f t="shared" si="6"/>
        <v>huggingface/tiiuae/Falcon-H1-1.5B-Deep-Instruct-GPTQ-Int4</v>
      </c>
    </row>
    <row r="409" spans="1:9" hidden="1" x14ac:dyDescent="0.75">
      <c r="A409" t="s">
        <v>63</v>
      </c>
      <c r="B409" t="s">
        <v>964</v>
      </c>
      <c r="C409" t="s">
        <v>965</v>
      </c>
      <c r="D409" s="4">
        <v>1500000000</v>
      </c>
      <c r="E409" s="5">
        <v>45789</v>
      </c>
      <c r="F409">
        <v>11</v>
      </c>
      <c r="G409" t="b">
        <v>0</v>
      </c>
      <c r="I409" t="str">
        <f t="shared" si="6"/>
        <v>huggingface/tiiuae/Falcon-H1-1.5B-Deep-Instruct-GPTQ-Int8</v>
      </c>
    </row>
    <row r="410" spans="1:9" hidden="1" x14ac:dyDescent="0.75">
      <c r="A410" t="s">
        <v>63</v>
      </c>
      <c r="B410" t="s">
        <v>966</v>
      </c>
      <c r="C410" t="s">
        <v>967</v>
      </c>
      <c r="D410" s="4">
        <v>1500000000</v>
      </c>
      <c r="E410" s="5">
        <v>45789</v>
      </c>
      <c r="F410">
        <v>11</v>
      </c>
      <c r="G410" t="b">
        <v>0</v>
      </c>
      <c r="I410" t="str">
        <f t="shared" si="6"/>
        <v>huggingface/tiiuae/Falcon-H1-1.5B-Instruct-GPTQ-Int4</v>
      </c>
    </row>
    <row r="411" spans="1:9" hidden="1" x14ac:dyDescent="0.75">
      <c r="A411" t="s">
        <v>63</v>
      </c>
      <c r="B411" t="s">
        <v>968</v>
      </c>
      <c r="C411" t="s">
        <v>969</v>
      </c>
      <c r="D411" s="4">
        <v>500000000</v>
      </c>
      <c r="E411" s="5">
        <v>45789</v>
      </c>
      <c r="F411">
        <v>11</v>
      </c>
      <c r="G411" t="b">
        <v>0</v>
      </c>
      <c r="I411" t="str">
        <f t="shared" si="6"/>
        <v>huggingface/tiiuae/Falcon-H1-0.5B-Instruct-GPTQ-Int8</v>
      </c>
    </row>
    <row r="412" spans="1:9" hidden="1" x14ac:dyDescent="0.75">
      <c r="A412" t="s">
        <v>63</v>
      </c>
      <c r="B412" t="s">
        <v>970</v>
      </c>
      <c r="C412" t="s">
        <v>971</v>
      </c>
      <c r="D412" s="4">
        <v>500000000</v>
      </c>
      <c r="E412" s="5">
        <v>45789</v>
      </c>
      <c r="F412">
        <v>11</v>
      </c>
      <c r="G412" t="b">
        <v>0</v>
      </c>
      <c r="I412" t="str">
        <f t="shared" si="6"/>
        <v>huggingface/tiiuae/Falcon-H1-0.5B-Instruct-GPTQ-Int4</v>
      </c>
    </row>
    <row r="413" spans="1:9" hidden="1" x14ac:dyDescent="0.75">
      <c r="A413" t="s">
        <v>63</v>
      </c>
      <c r="B413" t="s">
        <v>972</v>
      </c>
      <c r="C413" t="s">
        <v>973</v>
      </c>
      <c r="D413" s="4">
        <v>3000000000</v>
      </c>
      <c r="E413" s="5">
        <v>45789</v>
      </c>
      <c r="F413">
        <v>10</v>
      </c>
      <c r="G413" t="b">
        <v>0</v>
      </c>
      <c r="I413" t="str">
        <f t="shared" si="6"/>
        <v>huggingface/tiiuae/Falcon-H1-3B-Instruct-GPTQ-Int4</v>
      </c>
    </row>
    <row r="414" spans="1:9" hidden="1" x14ac:dyDescent="0.75">
      <c r="A414" t="s">
        <v>63</v>
      </c>
      <c r="B414" t="s">
        <v>974</v>
      </c>
      <c r="C414" t="s">
        <v>975</v>
      </c>
      <c r="D414" s="4">
        <v>3000000000</v>
      </c>
      <c r="E414" s="5">
        <v>45789</v>
      </c>
      <c r="F414">
        <v>9</v>
      </c>
      <c r="G414" t="b">
        <v>0</v>
      </c>
      <c r="I414" t="str">
        <f t="shared" si="6"/>
        <v>huggingface/tiiuae/Falcon-H1-3B-Instruct-GPTQ-Int8</v>
      </c>
    </row>
    <row r="415" spans="1:9" hidden="1" x14ac:dyDescent="0.75">
      <c r="A415" t="s">
        <v>63</v>
      </c>
      <c r="B415" t="s">
        <v>976</v>
      </c>
      <c r="C415" t="s">
        <v>977</v>
      </c>
      <c r="D415" s="4">
        <v>34000000000</v>
      </c>
      <c r="E415" s="5">
        <v>45778</v>
      </c>
      <c r="F415">
        <v>8309</v>
      </c>
      <c r="G415" t="b">
        <v>0</v>
      </c>
      <c r="I415" t="str">
        <f t="shared" si="6"/>
        <v>huggingface/tiiuae/Falcon-H1-34B-Instruct</v>
      </c>
    </row>
    <row r="416" spans="1:9" hidden="1" x14ac:dyDescent="0.75">
      <c r="A416" t="s">
        <v>63</v>
      </c>
      <c r="B416" t="s">
        <v>978</v>
      </c>
      <c r="C416" t="s">
        <v>979</v>
      </c>
      <c r="D416" s="4">
        <v>1500000000</v>
      </c>
      <c r="E416" s="5">
        <v>45778</v>
      </c>
      <c r="F416">
        <v>3945</v>
      </c>
      <c r="G416" t="b">
        <v>0</v>
      </c>
      <c r="I416" t="str">
        <f t="shared" si="6"/>
        <v>huggingface/tiiuae/Falcon-H1-1.5B-Instruct</v>
      </c>
    </row>
    <row r="417" spans="1:9" hidden="1" x14ac:dyDescent="0.75">
      <c r="A417" t="s">
        <v>63</v>
      </c>
      <c r="B417" t="s">
        <v>980</v>
      </c>
      <c r="C417" t="s">
        <v>981</v>
      </c>
      <c r="D417" s="4">
        <v>7000000000</v>
      </c>
      <c r="E417" s="5">
        <v>45778</v>
      </c>
      <c r="F417">
        <v>3176</v>
      </c>
      <c r="G417" t="b">
        <v>0</v>
      </c>
      <c r="I417" t="str">
        <f t="shared" si="6"/>
        <v>huggingface/tiiuae/Falcon-H1-7B-Instruct</v>
      </c>
    </row>
    <row r="418" spans="1:9" hidden="1" x14ac:dyDescent="0.75">
      <c r="A418" t="s">
        <v>63</v>
      </c>
      <c r="B418" t="s">
        <v>982</v>
      </c>
      <c r="C418" t="s">
        <v>983</v>
      </c>
      <c r="D418" s="4">
        <v>500000000</v>
      </c>
      <c r="E418" s="5">
        <v>45778</v>
      </c>
      <c r="F418">
        <v>2217</v>
      </c>
      <c r="G418" t="b">
        <v>0</v>
      </c>
      <c r="I418" t="str">
        <f t="shared" si="6"/>
        <v>huggingface/tiiuae/Falcon-H1-0.5B-Instruct</v>
      </c>
    </row>
    <row r="419" spans="1:9" hidden="1" x14ac:dyDescent="0.75">
      <c r="A419" t="s">
        <v>63</v>
      </c>
      <c r="B419" t="s">
        <v>984</v>
      </c>
      <c r="C419" t="s">
        <v>985</v>
      </c>
      <c r="D419" s="4">
        <v>3000000000</v>
      </c>
      <c r="E419" s="5">
        <v>45778</v>
      </c>
      <c r="F419">
        <v>1383</v>
      </c>
      <c r="G419" t="b">
        <v>0</v>
      </c>
      <c r="I419" t="str">
        <f t="shared" si="6"/>
        <v>huggingface/tiiuae/Falcon-H1-3B-Instruct</v>
      </c>
    </row>
    <row r="420" spans="1:9" hidden="1" x14ac:dyDescent="0.75">
      <c r="A420" t="s">
        <v>63</v>
      </c>
      <c r="B420" t="s">
        <v>986</v>
      </c>
      <c r="C420" t="s">
        <v>987</v>
      </c>
      <c r="D420" s="4">
        <v>1500000000</v>
      </c>
      <c r="E420" s="5">
        <v>45778</v>
      </c>
      <c r="F420">
        <v>1082</v>
      </c>
      <c r="G420" t="b">
        <v>0</v>
      </c>
      <c r="I420" t="str">
        <f t="shared" si="6"/>
        <v>huggingface/tiiuae/Falcon-H1-1.5B-Deep-Instruct</v>
      </c>
    </row>
    <row r="421" spans="1:9" hidden="1" x14ac:dyDescent="0.75">
      <c r="A421" t="s">
        <v>63</v>
      </c>
      <c r="B421" t="s">
        <v>988</v>
      </c>
      <c r="C421" t="s">
        <v>989</v>
      </c>
      <c r="D421" s="4">
        <v>3000000000</v>
      </c>
      <c r="E421" s="5">
        <v>45763</v>
      </c>
      <c r="F421">
        <v>1085</v>
      </c>
      <c r="G421" t="b">
        <v>0</v>
      </c>
      <c r="I421" t="str">
        <f t="shared" si="6"/>
        <v>huggingface/tiiuae/Falcon-E-3B-Instruct</v>
      </c>
    </row>
    <row r="422" spans="1:9" hidden="1" x14ac:dyDescent="0.75">
      <c r="A422" t="s">
        <v>63</v>
      </c>
      <c r="B422" t="s">
        <v>990</v>
      </c>
      <c r="C422" t="s">
        <v>991</v>
      </c>
      <c r="D422" s="4">
        <v>1000000000</v>
      </c>
      <c r="E422" s="5">
        <v>45763</v>
      </c>
      <c r="F422">
        <v>998</v>
      </c>
      <c r="G422" t="b">
        <v>0</v>
      </c>
      <c r="I422" t="str">
        <f t="shared" si="6"/>
        <v>huggingface/tiiuae/Falcon-E-1B-Instruct</v>
      </c>
    </row>
    <row r="423" spans="1:9" hidden="1" x14ac:dyDescent="0.75">
      <c r="A423" t="s">
        <v>63</v>
      </c>
      <c r="B423" t="s">
        <v>992</v>
      </c>
      <c r="C423" t="s">
        <v>993</v>
      </c>
      <c r="D423" s="4">
        <v>3000000000</v>
      </c>
      <c r="E423" s="5">
        <v>45763</v>
      </c>
      <c r="F423">
        <v>64</v>
      </c>
      <c r="G423" t="b">
        <v>0</v>
      </c>
      <c r="I423" t="str">
        <f t="shared" si="6"/>
        <v>huggingface/tiiuae/Falcon-E-3B-Instruct-GGUF</v>
      </c>
    </row>
    <row r="424" spans="1:9" hidden="1" x14ac:dyDescent="0.75">
      <c r="A424" t="s">
        <v>63</v>
      </c>
      <c r="B424" t="s">
        <v>994</v>
      </c>
      <c r="C424" t="s">
        <v>995</v>
      </c>
      <c r="D424" s="4">
        <v>1000000000</v>
      </c>
      <c r="E424" s="5">
        <v>45763</v>
      </c>
      <c r="F424">
        <v>28</v>
      </c>
      <c r="G424" t="b">
        <v>0</v>
      </c>
      <c r="I424" t="str">
        <f t="shared" si="6"/>
        <v>huggingface/tiiuae/Falcon-E-1B-Instruct-GGUF</v>
      </c>
    </row>
    <row r="425" spans="1:9" hidden="1" x14ac:dyDescent="0.75">
      <c r="A425" t="s">
        <v>63</v>
      </c>
      <c r="B425" t="s">
        <v>996</v>
      </c>
      <c r="C425" t="s">
        <v>997</v>
      </c>
      <c r="D425" s="4">
        <v>7000000000</v>
      </c>
      <c r="E425" s="5">
        <v>45645</v>
      </c>
      <c r="F425">
        <v>53</v>
      </c>
      <c r="G425" t="b">
        <v>0</v>
      </c>
      <c r="I425" t="str">
        <f t="shared" si="6"/>
        <v>huggingface/tiiuae/Falcon3-7B-Instruct-1.58bit-GGUF</v>
      </c>
    </row>
    <row r="426" spans="1:9" hidden="1" x14ac:dyDescent="0.75">
      <c r="A426" t="s">
        <v>63</v>
      </c>
      <c r="B426" t="s">
        <v>998</v>
      </c>
      <c r="C426" t="s">
        <v>999</v>
      </c>
      <c r="D426" s="4">
        <v>1000000000</v>
      </c>
      <c r="E426" s="5">
        <v>45645</v>
      </c>
      <c r="F426">
        <v>21</v>
      </c>
      <c r="G426" t="b">
        <v>0</v>
      </c>
      <c r="I426" t="str">
        <f t="shared" si="6"/>
        <v>huggingface/tiiuae/Falcon3-1B-Instruct-1.58bit-GGUF</v>
      </c>
    </row>
    <row r="427" spans="1:9" hidden="1" x14ac:dyDescent="0.75">
      <c r="A427" t="s">
        <v>63</v>
      </c>
      <c r="B427" t="s">
        <v>1000</v>
      </c>
      <c r="C427" t="s">
        <v>1001</v>
      </c>
      <c r="D427" s="4">
        <v>10000000000</v>
      </c>
      <c r="E427" s="5">
        <v>45645</v>
      </c>
      <c r="F427">
        <v>16</v>
      </c>
      <c r="G427" t="b">
        <v>0</v>
      </c>
      <c r="I427" t="str">
        <f t="shared" si="6"/>
        <v>huggingface/tiiuae/Falcon3-10B-Instruct-1.58bit-GGUF</v>
      </c>
    </row>
    <row r="428" spans="1:9" hidden="1" x14ac:dyDescent="0.75">
      <c r="A428" t="s">
        <v>63</v>
      </c>
      <c r="B428" t="s">
        <v>1002</v>
      </c>
      <c r="C428" t="s">
        <v>1003</v>
      </c>
      <c r="D428" s="4">
        <v>3000000000</v>
      </c>
      <c r="E428" s="5">
        <v>45645</v>
      </c>
      <c r="F428">
        <v>13</v>
      </c>
      <c r="G428" t="b">
        <v>0</v>
      </c>
      <c r="I428" t="str">
        <f t="shared" si="6"/>
        <v>huggingface/tiiuae/Falcon3-3B-Instruct-1.58bit-GGUF</v>
      </c>
    </row>
    <row r="429" spans="1:9" hidden="1" x14ac:dyDescent="0.75">
      <c r="A429" t="s">
        <v>63</v>
      </c>
      <c r="B429" t="s">
        <v>1004</v>
      </c>
      <c r="C429" t="s">
        <v>1005</v>
      </c>
      <c r="D429" s="4">
        <v>10000000000</v>
      </c>
      <c r="E429" s="5">
        <v>45642</v>
      </c>
      <c r="F429">
        <v>844</v>
      </c>
      <c r="G429" t="b">
        <v>0</v>
      </c>
      <c r="I429" t="str">
        <f t="shared" si="6"/>
        <v>huggingface/tiiuae/Falcon3-10B-Instruct-1.58bit</v>
      </c>
    </row>
    <row r="430" spans="1:9" hidden="1" x14ac:dyDescent="0.75">
      <c r="A430" t="s">
        <v>63</v>
      </c>
      <c r="B430" t="s">
        <v>1006</v>
      </c>
      <c r="C430" t="s">
        <v>1007</v>
      </c>
      <c r="D430" s="4">
        <v>7000000000</v>
      </c>
      <c r="E430" s="5">
        <v>45642</v>
      </c>
      <c r="F430">
        <v>294</v>
      </c>
      <c r="G430" t="b">
        <v>0</v>
      </c>
      <c r="I430" t="str">
        <f t="shared" si="6"/>
        <v>huggingface/tiiuae/Falcon3-Mamba-7B-Instruct-GGUF</v>
      </c>
    </row>
    <row r="431" spans="1:9" hidden="1" x14ac:dyDescent="0.75">
      <c r="A431" t="s">
        <v>63</v>
      </c>
      <c r="B431" t="s">
        <v>1008</v>
      </c>
      <c r="C431" t="s">
        <v>1009</v>
      </c>
      <c r="D431" s="4">
        <v>1000000000</v>
      </c>
      <c r="E431" s="5">
        <v>45642</v>
      </c>
      <c r="F431">
        <v>50</v>
      </c>
      <c r="G431" t="b">
        <v>0</v>
      </c>
      <c r="I431" t="str">
        <f t="shared" si="6"/>
        <v>huggingface/tiiuae/Falcon3-1B-Instruct-1.58bit</v>
      </c>
    </row>
    <row r="432" spans="1:9" hidden="1" x14ac:dyDescent="0.75">
      <c r="A432" t="s">
        <v>63</v>
      </c>
      <c r="B432" t="s">
        <v>1010</v>
      </c>
      <c r="C432" t="s">
        <v>1011</v>
      </c>
      <c r="D432" s="4">
        <v>1000000000</v>
      </c>
      <c r="E432" s="5">
        <v>45640</v>
      </c>
      <c r="F432">
        <v>25083</v>
      </c>
      <c r="G432" t="b">
        <v>0</v>
      </c>
      <c r="I432" t="str">
        <f t="shared" si="6"/>
        <v>huggingface/tiiuae/Falcon3-1B-Instruct</v>
      </c>
    </row>
    <row r="433" spans="1:9" hidden="1" x14ac:dyDescent="0.75">
      <c r="A433" t="s">
        <v>63</v>
      </c>
      <c r="B433" t="s">
        <v>1012</v>
      </c>
      <c r="C433" s="2" t="s">
        <v>1013</v>
      </c>
      <c r="D433" s="4">
        <v>10000000000</v>
      </c>
      <c r="E433" s="5">
        <v>45640</v>
      </c>
      <c r="F433">
        <v>22155</v>
      </c>
      <c r="G433" t="b">
        <v>0</v>
      </c>
      <c r="I433" t="str">
        <f t="shared" si="6"/>
        <v>huggingface/tiiuae/Falcon3-10B-Instruct</v>
      </c>
    </row>
    <row r="434" spans="1:9" hidden="1" x14ac:dyDescent="0.75">
      <c r="A434" t="s">
        <v>63</v>
      </c>
      <c r="B434" t="s">
        <v>1014</v>
      </c>
      <c r="C434" t="s">
        <v>1015</v>
      </c>
      <c r="D434" s="4">
        <v>3000000000</v>
      </c>
      <c r="E434" s="5">
        <v>45640</v>
      </c>
      <c r="F434">
        <v>21290</v>
      </c>
      <c r="G434" t="b">
        <v>0</v>
      </c>
      <c r="I434" t="str">
        <f t="shared" si="6"/>
        <v>huggingface/tiiuae/Falcon3-3B-Instruct</v>
      </c>
    </row>
    <row r="435" spans="1:9" hidden="1" x14ac:dyDescent="0.75">
      <c r="A435" t="s">
        <v>63</v>
      </c>
      <c r="B435" t="s">
        <v>1016</v>
      </c>
      <c r="C435" t="s">
        <v>1017</v>
      </c>
      <c r="D435" s="4">
        <v>1000000000</v>
      </c>
      <c r="E435" s="5">
        <v>45640</v>
      </c>
      <c r="F435">
        <v>535</v>
      </c>
      <c r="G435" t="b">
        <v>0</v>
      </c>
      <c r="I435" t="str">
        <f t="shared" si="6"/>
        <v>huggingface/tiiuae/Falcon3-1B-Instruct-GGUF</v>
      </c>
    </row>
    <row r="436" spans="1:9" hidden="1" x14ac:dyDescent="0.75">
      <c r="A436" t="s">
        <v>63</v>
      </c>
      <c r="B436" t="s">
        <v>1018</v>
      </c>
      <c r="C436" t="s">
        <v>1019</v>
      </c>
      <c r="D436" s="4">
        <v>3000000000</v>
      </c>
      <c r="E436" s="5">
        <v>45640</v>
      </c>
      <c r="F436">
        <v>360</v>
      </c>
      <c r="G436" t="b">
        <v>0</v>
      </c>
      <c r="I436" t="str">
        <f t="shared" si="6"/>
        <v>huggingface/tiiuae/Falcon3-3B-Instruct-GGUF</v>
      </c>
    </row>
    <row r="437" spans="1:9" hidden="1" x14ac:dyDescent="0.75">
      <c r="A437" t="s">
        <v>63</v>
      </c>
      <c r="B437" t="s">
        <v>1020</v>
      </c>
      <c r="C437" t="s">
        <v>1021</v>
      </c>
      <c r="D437" s="4">
        <v>7000000000</v>
      </c>
      <c r="E437" s="5">
        <v>45640</v>
      </c>
      <c r="F437">
        <v>328</v>
      </c>
      <c r="G437" t="b">
        <v>0</v>
      </c>
      <c r="I437" t="str">
        <f t="shared" si="6"/>
        <v>huggingface/tiiuae/Falcon3-7B-Instruct-GGUF</v>
      </c>
    </row>
    <row r="438" spans="1:9" hidden="1" x14ac:dyDescent="0.75">
      <c r="A438" t="s">
        <v>63</v>
      </c>
      <c r="B438" t="s">
        <v>1022</v>
      </c>
      <c r="C438" t="s">
        <v>1023</v>
      </c>
      <c r="D438" s="4">
        <v>10000000000</v>
      </c>
      <c r="E438" s="5">
        <v>45640</v>
      </c>
      <c r="F438">
        <v>257</v>
      </c>
      <c r="G438" t="b">
        <v>0</v>
      </c>
      <c r="I438" t="str">
        <f t="shared" si="6"/>
        <v>huggingface/tiiuae/Falcon3-10B-Instruct-GGUF</v>
      </c>
    </row>
    <row r="439" spans="1:9" hidden="1" x14ac:dyDescent="0.75">
      <c r="A439" t="s">
        <v>63</v>
      </c>
      <c r="B439" t="s">
        <v>1024</v>
      </c>
      <c r="C439" t="s">
        <v>1025</v>
      </c>
      <c r="D439" s="4">
        <v>7000000000</v>
      </c>
      <c r="E439" s="5">
        <v>45640</v>
      </c>
      <c r="F439">
        <v>75</v>
      </c>
      <c r="G439" t="b">
        <v>0</v>
      </c>
      <c r="I439" t="str">
        <f t="shared" si="6"/>
        <v>huggingface/tiiuae/Falcon3-7B-Instruct-GPTQ-Int4</v>
      </c>
    </row>
    <row r="440" spans="1:9" hidden="1" x14ac:dyDescent="0.75">
      <c r="A440" t="s">
        <v>63</v>
      </c>
      <c r="B440" t="s">
        <v>1026</v>
      </c>
      <c r="C440" t="s">
        <v>1027</v>
      </c>
      <c r="D440" s="4">
        <v>10000000000</v>
      </c>
      <c r="E440" s="5">
        <v>45640</v>
      </c>
      <c r="F440">
        <v>47</v>
      </c>
      <c r="G440" t="b">
        <v>0</v>
      </c>
      <c r="I440" t="str">
        <f t="shared" si="6"/>
        <v>huggingface/tiiuae/Falcon3-10B-Instruct-GPTQ-Int4</v>
      </c>
    </row>
    <row r="441" spans="1:9" hidden="1" x14ac:dyDescent="0.75">
      <c r="A441" t="s">
        <v>63</v>
      </c>
      <c r="B441" t="s">
        <v>1028</v>
      </c>
      <c r="C441" t="s">
        <v>1029</v>
      </c>
      <c r="D441" s="4">
        <v>7000000000</v>
      </c>
      <c r="E441" s="5">
        <v>45640</v>
      </c>
      <c r="F441">
        <v>46</v>
      </c>
      <c r="G441" t="b">
        <v>0</v>
      </c>
      <c r="I441" t="str">
        <f t="shared" si="6"/>
        <v>huggingface/tiiuae/Falcon3-7B-Instruct-AWQ</v>
      </c>
    </row>
    <row r="442" spans="1:9" hidden="1" x14ac:dyDescent="0.75">
      <c r="A442" t="s">
        <v>63</v>
      </c>
      <c r="B442" t="s">
        <v>1030</v>
      </c>
      <c r="C442" t="s">
        <v>1031</v>
      </c>
      <c r="D442" s="4">
        <v>1000000000</v>
      </c>
      <c r="E442" s="5">
        <v>45640</v>
      </c>
      <c r="F442">
        <v>14</v>
      </c>
      <c r="G442" t="b">
        <v>0</v>
      </c>
      <c r="I442" t="str">
        <f t="shared" si="6"/>
        <v>huggingface/tiiuae/Falcon3-1B-Instruct-GPTQ-Int4</v>
      </c>
    </row>
    <row r="443" spans="1:9" hidden="1" x14ac:dyDescent="0.75">
      <c r="A443" t="s">
        <v>63</v>
      </c>
      <c r="B443" t="s">
        <v>1032</v>
      </c>
      <c r="C443" t="s">
        <v>1033</v>
      </c>
      <c r="D443" s="4">
        <v>3000000000</v>
      </c>
      <c r="E443" s="5">
        <v>45640</v>
      </c>
      <c r="F443">
        <v>11</v>
      </c>
      <c r="G443" t="b">
        <v>0</v>
      </c>
      <c r="I443" t="str">
        <f t="shared" si="6"/>
        <v>huggingface/tiiuae/Falcon3-3B-Instruct-GPTQ-Int4</v>
      </c>
    </row>
    <row r="444" spans="1:9" hidden="1" x14ac:dyDescent="0.75">
      <c r="A444" t="s">
        <v>63</v>
      </c>
      <c r="B444" t="s">
        <v>1034</v>
      </c>
      <c r="C444" t="s">
        <v>1035</v>
      </c>
      <c r="D444" s="4">
        <v>1000000000</v>
      </c>
      <c r="E444" s="5">
        <v>45640</v>
      </c>
      <c r="F444">
        <v>11</v>
      </c>
      <c r="G444" t="b">
        <v>0</v>
      </c>
      <c r="I444" t="str">
        <f t="shared" si="6"/>
        <v>huggingface/tiiuae/Falcon3-1B-Instruct-AWQ</v>
      </c>
    </row>
    <row r="445" spans="1:9" hidden="1" x14ac:dyDescent="0.75">
      <c r="A445" t="s">
        <v>63</v>
      </c>
      <c r="B445" t="s">
        <v>1036</v>
      </c>
      <c r="C445" t="s">
        <v>1037</v>
      </c>
      <c r="D445" s="4">
        <v>10000000000</v>
      </c>
      <c r="E445" s="5">
        <v>45640</v>
      </c>
      <c r="F445">
        <v>8</v>
      </c>
      <c r="G445" t="b">
        <v>0</v>
      </c>
      <c r="I445" t="str">
        <f t="shared" si="6"/>
        <v>huggingface/tiiuae/Falcon3-10B-Instruct-GPTQ-Int8</v>
      </c>
    </row>
    <row r="446" spans="1:9" hidden="1" x14ac:dyDescent="0.75">
      <c r="A446" t="s">
        <v>63</v>
      </c>
      <c r="B446" t="s">
        <v>1038</v>
      </c>
      <c r="C446" t="s">
        <v>1039</v>
      </c>
      <c r="D446" s="4">
        <v>1000000000</v>
      </c>
      <c r="E446" s="5">
        <v>45640</v>
      </c>
      <c r="F446">
        <v>7</v>
      </c>
      <c r="G446" t="b">
        <v>0</v>
      </c>
      <c r="I446" t="str">
        <f t="shared" si="6"/>
        <v>huggingface/tiiuae/Falcon3-1B-Instruct-GPTQ-Int8</v>
      </c>
    </row>
    <row r="447" spans="1:9" hidden="1" x14ac:dyDescent="0.75">
      <c r="A447" t="s">
        <v>63</v>
      </c>
      <c r="B447" t="s">
        <v>1040</v>
      </c>
      <c r="C447" t="s">
        <v>1041</v>
      </c>
      <c r="D447" s="4">
        <v>10000000000</v>
      </c>
      <c r="E447" s="5">
        <v>45640</v>
      </c>
      <c r="F447">
        <v>7</v>
      </c>
      <c r="G447" t="b">
        <v>0</v>
      </c>
      <c r="I447" t="str">
        <f t="shared" si="6"/>
        <v>huggingface/tiiuae/Falcon3-10B-Instruct-AWQ</v>
      </c>
    </row>
    <row r="448" spans="1:9" hidden="1" x14ac:dyDescent="0.75">
      <c r="A448" t="s">
        <v>63</v>
      </c>
      <c r="B448" t="s">
        <v>1042</v>
      </c>
      <c r="C448" t="s">
        <v>1043</v>
      </c>
      <c r="D448" s="4">
        <v>3000000000</v>
      </c>
      <c r="E448" s="5">
        <v>45640</v>
      </c>
      <c r="F448">
        <v>6</v>
      </c>
      <c r="G448" t="b">
        <v>0</v>
      </c>
      <c r="I448" t="str">
        <f t="shared" si="6"/>
        <v>huggingface/tiiuae/Falcon3-3B-Instruct-GPTQ-Int8</v>
      </c>
    </row>
    <row r="449" spans="1:9" hidden="1" x14ac:dyDescent="0.75">
      <c r="A449" t="s">
        <v>63</v>
      </c>
      <c r="B449" t="s">
        <v>1044</v>
      </c>
      <c r="C449" t="s">
        <v>1045</v>
      </c>
      <c r="D449" s="4">
        <v>3000000000</v>
      </c>
      <c r="E449" s="5">
        <v>45640</v>
      </c>
      <c r="F449">
        <v>6</v>
      </c>
      <c r="G449" t="b">
        <v>0</v>
      </c>
      <c r="I449" t="str">
        <f t="shared" si="6"/>
        <v>huggingface/tiiuae/Falcon3-3B-Instruct-AWQ</v>
      </c>
    </row>
    <row r="450" spans="1:9" hidden="1" x14ac:dyDescent="0.75">
      <c r="A450" t="s">
        <v>63</v>
      </c>
      <c r="B450" t="s">
        <v>1046</v>
      </c>
      <c r="C450" t="s">
        <v>1047</v>
      </c>
      <c r="D450" s="4">
        <v>7000000000</v>
      </c>
      <c r="E450" s="5">
        <v>45640</v>
      </c>
      <c r="F450">
        <v>4</v>
      </c>
      <c r="G450" t="b">
        <v>0</v>
      </c>
      <c r="I450" t="str">
        <f t="shared" si="6"/>
        <v>huggingface/tiiuae/Falcon3-7B-Instruct-GPTQ-Int8</v>
      </c>
    </row>
    <row r="451" spans="1:9" hidden="1" x14ac:dyDescent="0.75">
      <c r="A451" t="s">
        <v>63</v>
      </c>
      <c r="B451" t="s">
        <v>1048</v>
      </c>
      <c r="C451" t="s">
        <v>1049</v>
      </c>
      <c r="D451" s="4">
        <v>7000000000</v>
      </c>
      <c r="E451" s="5">
        <v>45639</v>
      </c>
      <c r="F451">
        <v>16595</v>
      </c>
      <c r="G451" t="b">
        <v>0</v>
      </c>
      <c r="I451" t="str">
        <f t="shared" ref="I451:I466" si="7">"huggingface/"&amp;A451&amp;"/"&amp;B451</f>
        <v>huggingface/tiiuae/Falcon3-Mamba-7B-Instruct</v>
      </c>
    </row>
    <row r="452" spans="1:9" hidden="1" x14ac:dyDescent="0.75">
      <c r="A452" t="s">
        <v>63</v>
      </c>
      <c r="B452" t="s">
        <v>1050</v>
      </c>
      <c r="C452" t="s">
        <v>1051</v>
      </c>
      <c r="D452" s="4">
        <v>7000000000</v>
      </c>
      <c r="E452" s="5">
        <v>45625</v>
      </c>
      <c r="F452">
        <v>23587</v>
      </c>
      <c r="G452" t="b">
        <v>0</v>
      </c>
      <c r="I452" t="str">
        <f t="shared" si="7"/>
        <v>huggingface/tiiuae/Falcon3-7B-Instruct</v>
      </c>
    </row>
    <row r="453" spans="1:9" hidden="1" x14ac:dyDescent="0.75">
      <c r="A453" t="s">
        <v>63</v>
      </c>
      <c r="B453" t="s">
        <v>1052</v>
      </c>
      <c r="C453" t="s">
        <v>1053</v>
      </c>
      <c r="D453" s="4">
        <v>7000000000</v>
      </c>
      <c r="E453" s="5">
        <v>45624</v>
      </c>
      <c r="F453">
        <v>1997</v>
      </c>
      <c r="G453" t="b">
        <v>0</v>
      </c>
      <c r="I453" t="str">
        <f t="shared" si="7"/>
        <v>huggingface/tiiuae/Falcon3-7B-Instruct-1.58bit</v>
      </c>
    </row>
    <row r="454" spans="1:9" hidden="1" x14ac:dyDescent="0.75">
      <c r="A454" t="s">
        <v>63</v>
      </c>
      <c r="B454" t="s">
        <v>1054</v>
      </c>
      <c r="C454" t="s">
        <v>1055</v>
      </c>
      <c r="D454" s="4">
        <v>3000000000</v>
      </c>
      <c r="E454" s="5">
        <v>45624</v>
      </c>
      <c r="F454">
        <v>41</v>
      </c>
      <c r="G454" t="b">
        <v>0</v>
      </c>
      <c r="I454" t="str">
        <f t="shared" si="7"/>
        <v>huggingface/tiiuae/Falcon3-3B-Instruct-1.58bit</v>
      </c>
    </row>
    <row r="455" spans="1:9" hidden="1" x14ac:dyDescent="0.75">
      <c r="A455" t="s">
        <v>63</v>
      </c>
      <c r="B455" t="s">
        <v>1056</v>
      </c>
      <c r="C455" t="s">
        <v>1057</v>
      </c>
      <c r="E455" s="5">
        <v>45578</v>
      </c>
      <c r="F455">
        <v>22388</v>
      </c>
      <c r="G455" t="b">
        <v>0</v>
      </c>
      <c r="I455" t="str">
        <f t="shared" si="7"/>
        <v>huggingface/tiiuae/falcon-mamba-tiny-dev</v>
      </c>
    </row>
    <row r="456" spans="1:9" hidden="1" x14ac:dyDescent="0.75">
      <c r="A456" t="s">
        <v>63</v>
      </c>
      <c r="B456" t="s">
        <v>1058</v>
      </c>
      <c r="C456" t="s">
        <v>1059</v>
      </c>
      <c r="D456" s="4">
        <v>7000000000</v>
      </c>
      <c r="E456" s="5">
        <v>45523</v>
      </c>
      <c r="F456">
        <v>3825</v>
      </c>
      <c r="G456" t="b">
        <v>0</v>
      </c>
      <c r="I456" t="str">
        <f t="shared" si="7"/>
        <v>huggingface/tiiuae/falcon-mamba-7b-instruct-Q4_K_M-GGUF</v>
      </c>
    </row>
    <row r="457" spans="1:9" hidden="1" x14ac:dyDescent="0.75">
      <c r="A457" t="s">
        <v>63</v>
      </c>
      <c r="B457" t="s">
        <v>1060</v>
      </c>
      <c r="C457" t="s">
        <v>1061</v>
      </c>
      <c r="D457" s="4">
        <v>7000000000</v>
      </c>
      <c r="E457" s="5">
        <v>45523</v>
      </c>
      <c r="F457">
        <v>33</v>
      </c>
      <c r="G457" t="b">
        <v>0</v>
      </c>
      <c r="I457" t="str">
        <f t="shared" si="7"/>
        <v>huggingface/tiiuae/falcon-mamba-7b-instruct-F16-GGUF</v>
      </c>
    </row>
    <row r="458" spans="1:9" hidden="1" x14ac:dyDescent="0.75">
      <c r="A458" t="s">
        <v>63</v>
      </c>
      <c r="B458" t="s">
        <v>1062</v>
      </c>
      <c r="C458" t="s">
        <v>1063</v>
      </c>
      <c r="D458" s="4">
        <v>7000000000</v>
      </c>
      <c r="E458" s="5">
        <v>45523</v>
      </c>
      <c r="F458">
        <v>16</v>
      </c>
      <c r="G458" t="b">
        <v>0</v>
      </c>
      <c r="I458" t="str">
        <f t="shared" si="7"/>
        <v>huggingface/tiiuae/falcon-mamba-7b-instruct-BF16-GGUF</v>
      </c>
    </row>
    <row r="459" spans="1:9" hidden="1" x14ac:dyDescent="0.75">
      <c r="A459" t="s">
        <v>63</v>
      </c>
      <c r="B459" t="s">
        <v>1064</v>
      </c>
      <c r="C459" t="s">
        <v>1065</v>
      </c>
      <c r="D459" s="4">
        <v>7000000000</v>
      </c>
      <c r="E459" s="5">
        <v>45522</v>
      </c>
      <c r="F459">
        <v>18</v>
      </c>
      <c r="G459" t="b">
        <v>0</v>
      </c>
      <c r="I459" t="str">
        <f t="shared" si="7"/>
        <v>huggingface/tiiuae/falcon-mamba-7b-instruct-Q8_0-GGUF</v>
      </c>
    </row>
    <row r="460" spans="1:9" hidden="1" x14ac:dyDescent="0.75">
      <c r="A460" t="s">
        <v>63</v>
      </c>
      <c r="B460" t="s">
        <v>1066</v>
      </c>
      <c r="C460" t="s">
        <v>1067</v>
      </c>
      <c r="D460" s="4">
        <v>7000000000</v>
      </c>
      <c r="E460" s="5">
        <v>45514</v>
      </c>
      <c r="F460">
        <v>25</v>
      </c>
      <c r="G460" t="b">
        <v>0</v>
      </c>
      <c r="I460" t="str">
        <f t="shared" si="7"/>
        <v>huggingface/tiiuae/falcon-mamba-7b-instruct-4bit</v>
      </c>
    </row>
    <row r="461" spans="1:9" hidden="1" x14ac:dyDescent="0.75">
      <c r="A461" t="s">
        <v>63</v>
      </c>
      <c r="B461" t="s">
        <v>1068</v>
      </c>
      <c r="C461" t="s">
        <v>1069</v>
      </c>
      <c r="D461" s="4">
        <v>7000000000</v>
      </c>
      <c r="E461" s="5">
        <v>45503</v>
      </c>
      <c r="F461">
        <v>24292</v>
      </c>
      <c r="G461" t="b">
        <v>0</v>
      </c>
      <c r="I461" t="str">
        <f t="shared" si="7"/>
        <v>huggingface/tiiuae/falcon-mamba-7b-instruct</v>
      </c>
    </row>
    <row r="462" spans="1:9" hidden="1" x14ac:dyDescent="0.75">
      <c r="A462" t="s">
        <v>63</v>
      </c>
      <c r="B462" t="s">
        <v>1070</v>
      </c>
      <c r="C462" t="s">
        <v>1071</v>
      </c>
      <c r="D462" s="4">
        <v>11000000000</v>
      </c>
      <c r="E462" s="5">
        <v>45421</v>
      </c>
      <c r="F462">
        <v>37295</v>
      </c>
      <c r="G462" t="b">
        <v>0</v>
      </c>
      <c r="I462" t="str">
        <f t="shared" si="7"/>
        <v>huggingface/tiiuae/falcon-11B</v>
      </c>
    </row>
    <row r="463" spans="1:9" hidden="1" x14ac:dyDescent="0.75">
      <c r="A463" t="s">
        <v>63</v>
      </c>
      <c r="B463" t="s">
        <v>1072</v>
      </c>
      <c r="C463" t="s">
        <v>1073</v>
      </c>
      <c r="D463" s="4">
        <v>180000000000</v>
      </c>
      <c r="E463" s="5">
        <v>45173</v>
      </c>
      <c r="F463">
        <v>261</v>
      </c>
      <c r="G463" t="b">
        <v>0</v>
      </c>
      <c r="I463" t="str">
        <f t="shared" si="7"/>
        <v>huggingface/tiiuae/falcon-180B-chat</v>
      </c>
    </row>
    <row r="464" spans="1:9" hidden="1" x14ac:dyDescent="0.75">
      <c r="A464" t="s">
        <v>63</v>
      </c>
      <c r="B464" t="s">
        <v>1074</v>
      </c>
      <c r="C464" t="s">
        <v>1075</v>
      </c>
      <c r="D464" s="4">
        <v>40000000000</v>
      </c>
      <c r="E464" s="5">
        <v>45071</v>
      </c>
      <c r="F464">
        <v>49900</v>
      </c>
      <c r="G464" t="b">
        <v>0</v>
      </c>
      <c r="I464" t="str">
        <f t="shared" si="7"/>
        <v>huggingface/tiiuae/falcon-40b-instruct</v>
      </c>
    </row>
    <row r="465" spans="1:9" hidden="1" x14ac:dyDescent="0.75">
      <c r="A465" t="s">
        <v>63</v>
      </c>
      <c r="B465" t="s">
        <v>1076</v>
      </c>
      <c r="C465" t="s">
        <v>124</v>
      </c>
      <c r="D465" s="4">
        <v>7000000000</v>
      </c>
      <c r="E465" s="5">
        <v>45041</v>
      </c>
      <c r="F465">
        <v>142313</v>
      </c>
      <c r="G465" t="b">
        <v>0</v>
      </c>
      <c r="I465" t="str">
        <f t="shared" si="7"/>
        <v>huggingface/tiiuae/falcon-7b-instruct</v>
      </c>
    </row>
    <row r="466" spans="1:9" x14ac:dyDescent="0.75">
      <c r="A466" t="s">
        <v>1125</v>
      </c>
      <c r="B466" t="s">
        <v>1126</v>
      </c>
      <c r="C466" t="s">
        <v>1127</v>
      </c>
      <c r="D466" s="4">
        <v>3000000000</v>
      </c>
      <c r="E466">
        <v>45846</v>
      </c>
      <c r="F466">
        <v>586058</v>
      </c>
      <c r="G466" t="b">
        <v>1</v>
      </c>
      <c r="I466" t="str">
        <f t="shared" si="7"/>
        <v>huggingface/HuggingFaceTB/SmolLM3-3B</v>
      </c>
    </row>
  </sheetData>
  <autoFilter ref="A1:I465" xr:uid="{601A80AE-008B-4747-AD7C-E84BD956E353}">
    <filterColumn colId="6">
      <filters>
        <filter val="TRUE"/>
      </filters>
    </filterColumn>
    <filterColumn colId="7">
      <filters blank="1"/>
    </filterColumn>
  </autoFilter>
  <hyperlinks>
    <hyperlink ref="C397" r:id="rId1" xr:uid="{5FCDF413-5D7B-4878-A933-7CB8136B248E}"/>
    <hyperlink ref="C264" r:id="rId2" xr:uid="{765E2CAD-9FC8-4E21-A3CF-AB92564E8CBE}"/>
    <hyperlink ref="C203" r:id="rId3" xr:uid="{CF014B21-3E2B-405F-A265-3C3A6194A2FB}"/>
    <hyperlink ref="C210" r:id="rId4" xr:uid="{45068A8E-2CD1-424E-AD38-742E00E04205}"/>
    <hyperlink ref="C222" r:id="rId5" xr:uid="{8836AE5D-5799-4D39-903C-2664B5E4472E}"/>
    <hyperlink ref="C227" r:id="rId6" xr:uid="{2839720C-33B1-4699-883E-C34B91F4CD02}"/>
    <hyperlink ref="C214" r:id="rId7" xr:uid="{08419C24-CF2C-4DE1-82EC-B169120DD1EA}"/>
    <hyperlink ref="C314" r:id="rId8" xr:uid="{651F30FF-5848-4C5E-9F84-20CF65C2B6F4}"/>
    <hyperlink ref="C366" r:id="rId9" xr:uid="{03E1D93F-7C50-4322-8259-128C8D14586A}"/>
    <hyperlink ref="C433" r:id="rId10" xr:uid="{81DFB9FB-E097-4F94-A2F1-CBF84CCEE5AA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model_config_test</vt:lpstr>
      <vt:lpstr>models_HF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Hong</cp:lastModifiedBy>
  <dcterms:created xsi:type="dcterms:W3CDTF">2025-08-19T10:49:02Z</dcterms:created>
  <dcterms:modified xsi:type="dcterms:W3CDTF">2025-08-20T17:14:45Z</dcterms:modified>
</cp:coreProperties>
</file>